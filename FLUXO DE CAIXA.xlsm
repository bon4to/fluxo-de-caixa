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EstaPastaDeTrabalho"/>
  <mc:AlternateContent xmlns:mc="http://schemas.openxmlformats.org/markup-compatibility/2006">
    <mc:Choice Requires="x15">
      <x15ac:absPath xmlns:x15ac="http://schemas.microsoft.com/office/spreadsheetml/2010/11/ac" url="C:\Users\analista.dados\Documents\"/>
    </mc:Choice>
  </mc:AlternateContent>
  <xr:revisionPtr revIDLastSave="0" documentId="13_ncr:1_{3AEA6FE5-6907-4649-97B7-DB0A6C347281}" xr6:coauthVersionLast="47" xr6:coauthVersionMax="47" xr10:uidLastSave="{00000000-0000-0000-0000-000000000000}"/>
  <bookViews>
    <workbookView xWindow="-120" yWindow="330" windowWidth="29040" windowHeight="15990" firstSheet="3" activeTab="3" xr2:uid="{B9BC078B-28EC-4203-93E8-A552902EAED1}"/>
  </bookViews>
  <sheets>
    <sheet name="ACOMP" sheetId="11" state="hidden" r:id="rId1"/>
    <sheet name="CHART" sheetId="13" state="hidden" r:id="rId2"/>
    <sheet name="EDITAR" sheetId="12" state="hidden" r:id="rId3"/>
    <sheet name="VISAO.GERAL" sheetId="10" r:id="rId4"/>
    <sheet name="Planilha1" sheetId="14" state="hidden" r:id="rId5"/>
  </sheets>
  <definedNames>
    <definedName name="ANO">EDITAR!$V$6</definedName>
    <definedName name="ANOS">EDITAR!$T$3:$T$14</definedName>
    <definedName name="DESCRIÇÃO">EDITAR!$O$3:$O$15</definedName>
    <definedName name="DIA">EDITAR!$V$4</definedName>
    <definedName name="FORMA_PGTO">EDITAR!$K$3:$K$5</definedName>
    <definedName name="INDEX">EDITAR!$AD$2</definedName>
    <definedName name="MÊS">EDITAR!$V$5</definedName>
    <definedName name="MESES">EDITAR!$Q$3:$Q$14</definedName>
    <definedName name="SALDO">ACOMP!$O$7</definedName>
    <definedName name="SELECTED">EDITAR!$Q$17</definedName>
    <definedName name="SHOW">EDITAR!$X$7</definedName>
    <definedName name="SorH">EDITAR!$X$3:$X$4</definedName>
    <definedName name="TIPO_DESCRIÇÃO">EDITAR!$M$3:$M$8</definedName>
    <definedName name="YEAR_SELECTED">EDITAR!$T$17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11" i="11" l="1"/>
  <c r="AE10" i="11"/>
  <c r="X4" i="12"/>
  <c r="X3" i="12"/>
  <c r="AD7" i="11"/>
  <c r="AG13" i="11"/>
  <c r="AG14" i="11"/>
  <c r="AG15" i="11"/>
  <c r="AG16" i="11"/>
  <c r="AG17" i="11"/>
  <c r="AG18" i="11"/>
  <c r="AG19" i="11"/>
  <c r="AG20" i="11"/>
  <c r="AG21" i="11"/>
  <c r="AG22" i="11"/>
  <c r="AG23" i="11"/>
  <c r="AG24" i="11"/>
  <c r="AG25" i="11"/>
  <c r="AG26" i="11"/>
  <c r="AG27" i="11"/>
  <c r="AG28" i="11"/>
  <c r="AG29" i="11"/>
  <c r="AG30" i="11"/>
  <c r="AG31" i="11"/>
  <c r="AG32" i="11"/>
  <c r="AG33" i="11"/>
  <c r="AG34" i="11"/>
  <c r="AG35" i="11"/>
  <c r="AG36" i="11"/>
  <c r="AG37" i="11"/>
  <c r="AG38" i="11"/>
  <c r="AG39" i="11"/>
  <c r="AG40" i="11"/>
  <c r="AG41" i="11"/>
  <c r="AG42" i="11"/>
  <c r="AG43" i="11"/>
  <c r="AG44" i="11"/>
  <c r="AG45" i="11"/>
  <c r="AG46" i="11"/>
  <c r="AG47" i="11"/>
  <c r="AG48" i="11"/>
  <c r="AG49" i="11"/>
  <c r="AG50" i="11"/>
  <c r="AG51" i="11"/>
  <c r="AG52" i="11"/>
  <c r="AG53" i="11"/>
  <c r="AG54" i="11"/>
  <c r="AG55" i="11"/>
  <c r="AG56" i="11"/>
  <c r="AG57" i="11"/>
  <c r="AG58" i="11"/>
  <c r="AG59" i="11"/>
  <c r="AG60" i="11"/>
  <c r="AG61" i="11"/>
  <c r="AG62" i="11"/>
  <c r="AG63" i="11"/>
  <c r="AG64" i="11"/>
  <c r="AG65" i="11"/>
  <c r="AG66" i="11"/>
  <c r="AG67" i="11"/>
  <c r="AG68" i="11"/>
  <c r="AG69" i="11"/>
  <c r="AG70" i="11"/>
  <c r="AG71" i="11"/>
  <c r="AG72" i="11"/>
  <c r="AG73" i="11"/>
  <c r="AG74" i="11"/>
  <c r="AG75" i="11"/>
  <c r="AG76" i="11"/>
  <c r="AG77" i="11"/>
  <c r="AG78" i="11"/>
  <c r="AG79" i="11"/>
  <c r="AG80" i="11"/>
  <c r="AG81" i="11"/>
  <c r="AG82" i="11"/>
  <c r="AG83" i="11"/>
  <c r="AG84" i="11"/>
  <c r="AG85" i="11"/>
  <c r="AG86" i="11"/>
  <c r="AG87" i="11"/>
  <c r="AG88" i="11"/>
  <c r="AG89" i="11"/>
  <c r="AG90" i="11"/>
  <c r="AG91" i="11"/>
  <c r="AG92" i="11"/>
  <c r="AG93" i="11"/>
  <c r="AG94" i="11"/>
  <c r="AG95" i="11"/>
  <c r="AG96" i="11"/>
  <c r="AG97" i="11"/>
  <c r="AG98" i="11"/>
  <c r="AG99" i="11"/>
  <c r="AG100" i="11"/>
  <c r="AG101" i="11"/>
  <c r="AG102" i="11"/>
  <c r="AG103" i="11"/>
  <c r="AG104" i="11"/>
  <c r="AG105" i="11"/>
  <c r="AG106" i="11"/>
  <c r="AG107" i="11"/>
  <c r="AG108" i="11"/>
  <c r="AG109" i="11"/>
  <c r="AG110" i="11"/>
  <c r="AG111" i="11"/>
  <c r="AG112" i="11"/>
  <c r="AG113" i="11"/>
  <c r="AG114" i="11"/>
  <c r="AG115" i="11"/>
  <c r="AG116" i="11"/>
  <c r="AG117" i="11"/>
  <c r="AG118" i="11"/>
  <c r="AG119" i="11"/>
  <c r="AG120" i="11"/>
  <c r="AG121" i="11"/>
  <c r="AG122" i="11"/>
  <c r="AG123" i="11"/>
  <c r="AG124" i="11"/>
  <c r="AG125" i="11"/>
  <c r="AG126" i="11"/>
  <c r="AG127" i="11"/>
  <c r="AG128" i="11"/>
  <c r="AG129" i="11"/>
  <c r="AG130" i="11"/>
  <c r="AG131" i="11"/>
  <c r="AG132" i="11"/>
  <c r="AG133" i="11"/>
  <c r="AG134" i="11"/>
  <c r="AG135" i="11"/>
  <c r="AG136" i="11"/>
  <c r="AG137" i="11"/>
  <c r="AG138" i="11"/>
  <c r="AG139" i="11"/>
  <c r="AG140" i="11"/>
  <c r="AG141" i="11"/>
  <c r="AG142" i="11"/>
  <c r="AG143" i="11"/>
  <c r="AG144" i="11"/>
  <c r="AG145" i="11"/>
  <c r="AG146" i="11"/>
  <c r="AG147" i="11"/>
  <c r="AG148" i="11"/>
  <c r="AG149" i="11"/>
  <c r="AG150" i="11"/>
  <c r="AG151" i="11"/>
  <c r="AG152" i="11"/>
  <c r="AG153" i="11"/>
  <c r="AG154" i="11"/>
  <c r="AG155" i="11"/>
  <c r="AG156" i="11"/>
  <c r="AG157" i="11"/>
  <c r="AG158" i="11"/>
  <c r="AG159" i="11"/>
  <c r="AG160" i="11"/>
  <c r="AG161" i="11"/>
  <c r="AG162" i="11"/>
  <c r="AG163" i="11"/>
  <c r="AG164" i="11"/>
  <c r="AG165" i="11"/>
  <c r="AG166" i="11"/>
  <c r="AG167" i="11"/>
  <c r="AG168" i="11"/>
  <c r="AG169" i="11"/>
  <c r="AG170" i="11"/>
  <c r="AG171" i="11"/>
  <c r="AG172" i="11"/>
  <c r="AG173" i="11"/>
  <c r="AG174" i="11"/>
  <c r="AG175" i="11"/>
  <c r="AG176" i="11"/>
  <c r="AG177" i="11"/>
  <c r="AG178" i="11"/>
  <c r="AG179" i="11"/>
  <c r="AG180" i="11"/>
  <c r="AG181" i="11"/>
  <c r="AG182" i="11"/>
  <c r="AG183" i="11"/>
  <c r="AG184" i="11"/>
  <c r="AG185" i="11"/>
  <c r="AG186" i="11"/>
  <c r="AG187" i="11"/>
  <c r="AG188" i="11"/>
  <c r="AG189" i="11"/>
  <c r="AG190" i="11"/>
  <c r="AG191" i="11"/>
  <c r="AG192" i="11"/>
  <c r="AG193" i="11"/>
  <c r="AG194" i="11"/>
  <c r="AG195" i="11"/>
  <c r="AG196" i="11"/>
  <c r="AG197" i="11"/>
  <c r="AG198" i="11"/>
  <c r="AG199" i="11"/>
  <c r="AG200" i="11"/>
  <c r="AG201" i="11"/>
  <c r="AG202" i="11"/>
  <c r="AG203" i="11"/>
  <c r="AG204" i="11"/>
  <c r="AG205" i="11"/>
  <c r="AG206" i="11"/>
  <c r="AG207" i="11"/>
  <c r="AG208" i="11"/>
  <c r="AG209" i="11"/>
  <c r="AG210" i="11"/>
  <c r="AG211" i="11"/>
  <c r="AG212" i="11"/>
  <c r="AG213" i="11"/>
  <c r="AG214" i="11"/>
  <c r="AG215" i="11"/>
  <c r="AG216" i="11"/>
  <c r="AG217" i="11"/>
  <c r="AG218" i="11"/>
  <c r="AG219" i="11"/>
  <c r="AG220" i="11"/>
  <c r="AR130" i="11"/>
  <c r="AR129" i="11"/>
  <c r="AR128" i="11"/>
  <c r="AR127" i="11"/>
  <c r="AR126" i="11"/>
  <c r="AR125" i="11"/>
  <c r="AR124" i="11"/>
  <c r="AR123" i="11"/>
  <c r="AR122" i="11"/>
  <c r="AR121" i="11"/>
  <c r="AR120" i="11"/>
  <c r="AR119" i="11"/>
  <c r="AR118" i="11"/>
  <c r="AR117" i="11"/>
  <c r="AR116" i="11"/>
  <c r="AR115" i="11"/>
  <c r="AR114" i="11"/>
  <c r="AR113" i="11"/>
  <c r="AR112" i="11"/>
  <c r="AR111" i="11"/>
  <c r="AR110" i="11"/>
  <c r="AR109" i="11"/>
  <c r="AR108" i="11"/>
  <c r="AR107" i="11"/>
  <c r="AR106" i="11"/>
  <c r="AR105" i="11"/>
  <c r="AR104" i="11"/>
  <c r="AR103" i="11"/>
  <c r="AR102" i="11"/>
  <c r="AR101" i="11"/>
  <c r="AR100" i="11"/>
  <c r="AR99" i="11"/>
  <c r="AR98" i="11"/>
  <c r="AR97" i="11"/>
  <c r="AR96" i="11"/>
  <c r="AR95" i="11"/>
  <c r="AR94" i="11"/>
  <c r="AR93" i="11"/>
  <c r="AR92" i="11"/>
  <c r="AR91" i="11"/>
  <c r="AR90" i="11"/>
  <c r="AR89" i="11"/>
  <c r="AR88" i="11"/>
  <c r="AR87" i="11"/>
  <c r="AR86" i="11"/>
  <c r="AR85" i="11"/>
  <c r="AR84" i="11"/>
  <c r="AR83" i="11"/>
  <c r="AR82" i="11"/>
  <c r="AR81" i="11"/>
  <c r="AR80" i="11"/>
  <c r="AR79" i="11"/>
  <c r="AR78" i="11"/>
  <c r="AR77" i="11"/>
  <c r="AR76" i="11"/>
  <c r="AR75" i="11"/>
  <c r="AR74" i="11"/>
  <c r="AR73" i="11"/>
  <c r="AR72" i="11"/>
  <c r="AR71" i="11"/>
  <c r="AR70" i="11"/>
  <c r="AR69" i="11"/>
  <c r="AR68" i="11"/>
  <c r="AR67" i="11"/>
  <c r="AR66" i="11"/>
  <c r="AR65" i="11"/>
  <c r="AR64" i="11"/>
  <c r="AR63" i="11"/>
  <c r="AR62" i="11"/>
  <c r="AR61" i="11"/>
  <c r="AR60" i="11"/>
  <c r="AR59" i="11"/>
  <c r="AR58" i="11"/>
  <c r="AR57" i="11"/>
  <c r="AR56" i="11"/>
  <c r="AR55" i="11"/>
  <c r="AR54" i="11"/>
  <c r="AR53" i="11"/>
  <c r="AR52" i="11"/>
  <c r="AR51" i="11"/>
  <c r="AR50" i="11"/>
  <c r="AR49" i="11"/>
  <c r="AR48" i="11"/>
  <c r="AR47" i="11"/>
  <c r="AR46" i="11"/>
  <c r="AR45" i="11"/>
  <c r="AR44" i="11"/>
  <c r="AR43" i="11"/>
  <c r="AR42" i="11"/>
  <c r="AR41" i="11"/>
  <c r="AR40" i="11"/>
  <c r="AR39" i="11"/>
  <c r="AR38" i="11"/>
  <c r="AR37" i="11"/>
  <c r="AR36" i="11"/>
  <c r="AR35" i="11"/>
  <c r="AR34" i="11"/>
  <c r="AR33" i="11"/>
  <c r="AR32" i="11"/>
  <c r="AR31" i="11"/>
  <c r="AR30" i="11"/>
  <c r="AR29" i="11"/>
  <c r="AR28" i="11"/>
  <c r="AR27" i="11"/>
  <c r="AR26" i="11"/>
  <c r="AR25" i="11"/>
  <c r="AR24" i="11"/>
  <c r="AR23" i="11"/>
  <c r="AR22" i="11"/>
  <c r="AR21" i="11"/>
  <c r="AR20" i="11"/>
  <c r="AR19" i="11"/>
  <c r="AR18" i="11"/>
  <c r="AR17" i="11"/>
  <c r="AR16" i="11"/>
  <c r="AR15" i="11"/>
  <c r="AR14" i="11"/>
  <c r="AR13" i="11"/>
  <c r="AR12" i="11"/>
  <c r="AR11" i="11"/>
  <c r="AR7" i="11"/>
  <c r="AQ130" i="11"/>
  <c r="AP130" i="11"/>
  <c r="AQ129" i="11"/>
  <c r="AP129" i="11"/>
  <c r="AQ128" i="11"/>
  <c r="AP128" i="11"/>
  <c r="AQ127" i="11"/>
  <c r="AP127" i="11"/>
  <c r="AQ126" i="11"/>
  <c r="AP126" i="11"/>
  <c r="AQ125" i="11"/>
  <c r="AP125" i="11"/>
  <c r="AQ124" i="11"/>
  <c r="AP124" i="11"/>
  <c r="AQ123" i="11"/>
  <c r="AP123" i="11"/>
  <c r="AQ122" i="11"/>
  <c r="AP122" i="11"/>
  <c r="AQ121" i="11"/>
  <c r="AP121" i="11"/>
  <c r="AQ120" i="11"/>
  <c r="AP120" i="11"/>
  <c r="AQ119" i="11"/>
  <c r="AP119" i="11"/>
  <c r="AQ118" i="11"/>
  <c r="AP118" i="11"/>
  <c r="AQ117" i="11"/>
  <c r="AP117" i="11"/>
  <c r="AQ116" i="11"/>
  <c r="AP116" i="11"/>
  <c r="AQ115" i="11"/>
  <c r="AP115" i="11"/>
  <c r="AQ114" i="11"/>
  <c r="AP114" i="11"/>
  <c r="AQ113" i="11"/>
  <c r="AP113" i="11"/>
  <c r="AQ112" i="11"/>
  <c r="AP112" i="11"/>
  <c r="AQ111" i="11"/>
  <c r="AP111" i="11"/>
  <c r="AQ110" i="11"/>
  <c r="AP110" i="11"/>
  <c r="AQ109" i="11"/>
  <c r="AP109" i="11"/>
  <c r="AQ108" i="11"/>
  <c r="AP108" i="11"/>
  <c r="AQ107" i="11"/>
  <c r="AP107" i="11"/>
  <c r="AQ106" i="11"/>
  <c r="AP106" i="11"/>
  <c r="AQ105" i="11"/>
  <c r="AP105" i="11"/>
  <c r="AQ104" i="11"/>
  <c r="AP104" i="11"/>
  <c r="AQ103" i="11"/>
  <c r="AP103" i="11"/>
  <c r="AQ102" i="11"/>
  <c r="AP102" i="11"/>
  <c r="AQ101" i="11"/>
  <c r="AP101" i="11"/>
  <c r="AQ100" i="11"/>
  <c r="AP100" i="11"/>
  <c r="AQ99" i="11"/>
  <c r="AP99" i="11"/>
  <c r="AQ98" i="11"/>
  <c r="AP98" i="11"/>
  <c r="AQ97" i="11"/>
  <c r="AP97" i="11"/>
  <c r="AQ96" i="11"/>
  <c r="AP96" i="11"/>
  <c r="AQ95" i="11"/>
  <c r="AP95" i="11"/>
  <c r="AQ94" i="11"/>
  <c r="AP94" i="11"/>
  <c r="AQ93" i="11"/>
  <c r="AP93" i="11"/>
  <c r="AQ92" i="11"/>
  <c r="AP92" i="11"/>
  <c r="AQ91" i="11"/>
  <c r="AP91" i="11"/>
  <c r="AQ90" i="11"/>
  <c r="AP90" i="11"/>
  <c r="AQ89" i="11"/>
  <c r="AP89" i="11"/>
  <c r="AQ88" i="11"/>
  <c r="AP88" i="11"/>
  <c r="AQ87" i="11"/>
  <c r="AP87" i="11"/>
  <c r="AQ86" i="11"/>
  <c r="AP86" i="11"/>
  <c r="AQ85" i="11"/>
  <c r="AP85" i="11"/>
  <c r="AQ84" i="11"/>
  <c r="AP84" i="11"/>
  <c r="AQ83" i="11"/>
  <c r="AP83" i="11"/>
  <c r="AQ82" i="11"/>
  <c r="AP82" i="11"/>
  <c r="AQ81" i="11"/>
  <c r="AP81" i="11"/>
  <c r="AQ80" i="11"/>
  <c r="AP80" i="11"/>
  <c r="AQ79" i="11"/>
  <c r="AP79" i="11"/>
  <c r="AQ78" i="11"/>
  <c r="AP78" i="11"/>
  <c r="AQ77" i="11"/>
  <c r="AP77" i="11"/>
  <c r="AQ76" i="11"/>
  <c r="AP76" i="11"/>
  <c r="AQ75" i="11"/>
  <c r="AP75" i="11"/>
  <c r="AQ74" i="11"/>
  <c r="AP74" i="11"/>
  <c r="AQ73" i="11"/>
  <c r="AP73" i="11"/>
  <c r="AQ72" i="11"/>
  <c r="AP72" i="11"/>
  <c r="AQ71" i="11"/>
  <c r="AP71" i="11"/>
  <c r="AQ70" i="11"/>
  <c r="AP70" i="11"/>
  <c r="AQ69" i="11"/>
  <c r="AP69" i="11"/>
  <c r="AQ68" i="11"/>
  <c r="AP68" i="11"/>
  <c r="AQ67" i="11"/>
  <c r="AP67" i="11"/>
  <c r="AQ66" i="11"/>
  <c r="AP66" i="11"/>
  <c r="AQ65" i="11"/>
  <c r="AP65" i="11"/>
  <c r="AQ64" i="11"/>
  <c r="AP64" i="11"/>
  <c r="AQ63" i="11"/>
  <c r="AP63" i="11"/>
  <c r="AQ62" i="11"/>
  <c r="AP62" i="11"/>
  <c r="AQ61" i="11"/>
  <c r="AP61" i="11"/>
  <c r="AQ60" i="11"/>
  <c r="AP60" i="11"/>
  <c r="AQ59" i="11"/>
  <c r="AP59" i="11"/>
  <c r="AQ58" i="11"/>
  <c r="AP58" i="11"/>
  <c r="AQ57" i="11"/>
  <c r="AP57" i="11"/>
  <c r="AQ56" i="11"/>
  <c r="AP56" i="11"/>
  <c r="AQ55" i="11"/>
  <c r="AP55" i="11"/>
  <c r="AQ54" i="11"/>
  <c r="AP54" i="11"/>
  <c r="AQ53" i="11"/>
  <c r="AP53" i="11"/>
  <c r="AQ52" i="11"/>
  <c r="AP52" i="11"/>
  <c r="AQ51" i="11"/>
  <c r="AP51" i="11"/>
  <c r="AQ50" i="11"/>
  <c r="AP50" i="11"/>
  <c r="AQ49" i="11"/>
  <c r="AP49" i="11"/>
  <c r="AQ48" i="11"/>
  <c r="AP48" i="11"/>
  <c r="AQ47" i="11"/>
  <c r="AP47" i="11"/>
  <c r="AQ46" i="11"/>
  <c r="AP46" i="11"/>
  <c r="AQ45" i="11"/>
  <c r="AP45" i="11"/>
  <c r="AQ44" i="11"/>
  <c r="AP44" i="11"/>
  <c r="AQ43" i="11"/>
  <c r="AP43" i="11"/>
  <c r="AQ42" i="11"/>
  <c r="AP42" i="11"/>
  <c r="AQ41" i="11"/>
  <c r="AP41" i="11"/>
  <c r="AQ40" i="11"/>
  <c r="AP40" i="11"/>
  <c r="AQ39" i="11"/>
  <c r="AP39" i="11"/>
  <c r="AQ38" i="11"/>
  <c r="AP38" i="11"/>
  <c r="AQ37" i="11"/>
  <c r="AP37" i="11"/>
  <c r="AQ36" i="11"/>
  <c r="AP36" i="11"/>
  <c r="AQ35" i="11"/>
  <c r="AP35" i="11"/>
  <c r="AQ34" i="11"/>
  <c r="AP34" i="11"/>
  <c r="AQ33" i="11"/>
  <c r="AP33" i="11"/>
  <c r="AQ32" i="11"/>
  <c r="AP32" i="11"/>
  <c r="AQ31" i="11"/>
  <c r="AP31" i="11"/>
  <c r="AQ30" i="11"/>
  <c r="AP30" i="11"/>
  <c r="AQ29" i="11"/>
  <c r="AP29" i="11"/>
  <c r="AQ28" i="11"/>
  <c r="AP28" i="11"/>
  <c r="AQ27" i="11"/>
  <c r="AP27" i="11"/>
  <c r="AQ26" i="11"/>
  <c r="AP26" i="11"/>
  <c r="AQ25" i="11"/>
  <c r="AP25" i="11"/>
  <c r="AQ24" i="11"/>
  <c r="AP24" i="11"/>
  <c r="AQ23" i="11"/>
  <c r="AP23" i="11"/>
  <c r="AQ22" i="11"/>
  <c r="AP22" i="11"/>
  <c r="AQ21" i="11"/>
  <c r="AP21" i="11"/>
  <c r="AQ20" i="11"/>
  <c r="AP20" i="11"/>
  <c r="AQ19" i="11"/>
  <c r="AP19" i="11"/>
  <c r="AQ18" i="11"/>
  <c r="AP18" i="11"/>
  <c r="AQ17" i="11"/>
  <c r="AP17" i="11"/>
  <c r="AQ16" i="11"/>
  <c r="AP16" i="11"/>
  <c r="AQ15" i="11"/>
  <c r="AP15" i="11"/>
  <c r="AQ14" i="11"/>
  <c r="AP14" i="11"/>
  <c r="AQ13" i="11"/>
  <c r="AP13" i="11"/>
  <c r="AQ12" i="11"/>
  <c r="AP12" i="11"/>
  <c r="AQ11" i="11"/>
  <c r="AP11" i="11"/>
  <c r="AQ10" i="11"/>
  <c r="AQ9" i="11"/>
  <c r="AQ8" i="11"/>
  <c r="AP8" i="11"/>
  <c r="AQ7" i="11"/>
  <c r="AP7"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4" i="11"/>
  <c r="AN13" i="11"/>
  <c r="AN12" i="11"/>
  <c r="AN11" i="11"/>
  <c r="AE220" i="11"/>
  <c r="AE219" i="11"/>
  <c r="AE218" i="11"/>
  <c r="AE217" i="11"/>
  <c r="AE216" i="11"/>
  <c r="AE215" i="11"/>
  <c r="AE214" i="11"/>
  <c r="AE213" i="11"/>
  <c r="AE212" i="11"/>
  <c r="AE211" i="11"/>
  <c r="AE210" i="11"/>
  <c r="AE209" i="11"/>
  <c r="AE208" i="11"/>
  <c r="AE207" i="11"/>
  <c r="AE206" i="11"/>
  <c r="AE205" i="11"/>
  <c r="AE204" i="11"/>
  <c r="AE203" i="11"/>
  <c r="AE202" i="11"/>
  <c r="AE201" i="11"/>
  <c r="AE200" i="11"/>
  <c r="AE199" i="11"/>
  <c r="AE198" i="11"/>
  <c r="AE197" i="11"/>
  <c r="AE196" i="11"/>
  <c r="AE195" i="11"/>
  <c r="AE194" i="11"/>
  <c r="AE193" i="11"/>
  <c r="AE192" i="11"/>
  <c r="AE191" i="11"/>
  <c r="AE190" i="11"/>
  <c r="AE189" i="11"/>
  <c r="AE188" i="11"/>
  <c r="AE187" i="11"/>
  <c r="AE186" i="11"/>
  <c r="AE185" i="11"/>
  <c r="AE184" i="11"/>
  <c r="AE183" i="11"/>
  <c r="AE182" i="11"/>
  <c r="AE181" i="11"/>
  <c r="AE180" i="11"/>
  <c r="AE179" i="11"/>
  <c r="AE178" i="11"/>
  <c r="AE177" i="11"/>
  <c r="AE176" i="11"/>
  <c r="AE175" i="11"/>
  <c r="AE174" i="11"/>
  <c r="AE173" i="11"/>
  <c r="AE172" i="11"/>
  <c r="AE171" i="11"/>
  <c r="AE170" i="11"/>
  <c r="AE169" i="11"/>
  <c r="AE168" i="11"/>
  <c r="AE167" i="11"/>
  <c r="AE166" i="11"/>
  <c r="AE165" i="11"/>
  <c r="AE164" i="11"/>
  <c r="AE163" i="11"/>
  <c r="AE162" i="11"/>
  <c r="AE161" i="11"/>
  <c r="AE160" i="11"/>
  <c r="AE159" i="11"/>
  <c r="AE158" i="11"/>
  <c r="AE157" i="11"/>
  <c r="AE156" i="11"/>
  <c r="AE155" i="11"/>
  <c r="AE154" i="11"/>
  <c r="AE153" i="11"/>
  <c r="AE152" i="11"/>
  <c r="AE151" i="11"/>
  <c r="AE150" i="11"/>
  <c r="AE149" i="11"/>
  <c r="AE148" i="11"/>
  <c r="AE147" i="11"/>
  <c r="AE146" i="11"/>
  <c r="AE145" i="11"/>
  <c r="AE144" i="11"/>
  <c r="AE143" i="11"/>
  <c r="AE142" i="11"/>
  <c r="AE141" i="11"/>
  <c r="AE140" i="11"/>
  <c r="AE139" i="11"/>
  <c r="AE138" i="11"/>
  <c r="AE137" i="11"/>
  <c r="AE136" i="11"/>
  <c r="AE135" i="11"/>
  <c r="AE134" i="11"/>
  <c r="AE133" i="11"/>
  <c r="AE132" i="11"/>
  <c r="AE131" i="11"/>
  <c r="AE130" i="11"/>
  <c r="AE129" i="11"/>
  <c r="AE128" i="11"/>
  <c r="AE127" i="11"/>
  <c r="AE126" i="11"/>
  <c r="AE125" i="11"/>
  <c r="AE124" i="11"/>
  <c r="AE123" i="11"/>
  <c r="AE122" i="11"/>
  <c r="AE121" i="11"/>
  <c r="AE120" i="11"/>
  <c r="AE119" i="11"/>
  <c r="AE118" i="11"/>
  <c r="AE117" i="11"/>
  <c r="AE116" i="11"/>
  <c r="AE115" i="11"/>
  <c r="AE114" i="11"/>
  <c r="AE113" i="11"/>
  <c r="AE112" i="11"/>
  <c r="AE111" i="11"/>
  <c r="AE110" i="11"/>
  <c r="AE109" i="11"/>
  <c r="AE108" i="11"/>
  <c r="AE107" i="11"/>
  <c r="AE106" i="11"/>
  <c r="AE105" i="11"/>
  <c r="AE104" i="11"/>
  <c r="AE103" i="11"/>
  <c r="AE102" i="11"/>
  <c r="AE101" i="11"/>
  <c r="AE100" i="11"/>
  <c r="AE99" i="11"/>
  <c r="AE98" i="11"/>
  <c r="AE97" i="11"/>
  <c r="AE96" i="11"/>
  <c r="AE95" i="11"/>
  <c r="AE94" i="11"/>
  <c r="AE93" i="11"/>
  <c r="AE92" i="11"/>
  <c r="AE91" i="11"/>
  <c r="AE90" i="11"/>
  <c r="AE89" i="11"/>
  <c r="AE88" i="11"/>
  <c r="AE87" i="11"/>
  <c r="AE86" i="11"/>
  <c r="AE85" i="11"/>
  <c r="AE84" i="11"/>
  <c r="AE83" i="11"/>
  <c r="AE82" i="11"/>
  <c r="AE81" i="11"/>
  <c r="AE80" i="11"/>
  <c r="AE79" i="11"/>
  <c r="AE78" i="11"/>
  <c r="AE77" i="11"/>
  <c r="AE76" i="11"/>
  <c r="AE75" i="11"/>
  <c r="AE74" i="11"/>
  <c r="AE73" i="11"/>
  <c r="AE72" i="11"/>
  <c r="AE71" i="11"/>
  <c r="AE70" i="11"/>
  <c r="AE69" i="11"/>
  <c r="AE68" i="11"/>
  <c r="AE67" i="11"/>
  <c r="AE66" i="11"/>
  <c r="AE65" i="11"/>
  <c r="AE64" i="11"/>
  <c r="AE63" i="11"/>
  <c r="AE62" i="11"/>
  <c r="AE61" i="11"/>
  <c r="AE60" i="11"/>
  <c r="AE59" i="11"/>
  <c r="AE58" i="11"/>
  <c r="AE57" i="11"/>
  <c r="AE56" i="11"/>
  <c r="AE55" i="11"/>
  <c r="AE54" i="11"/>
  <c r="AE53" i="11"/>
  <c r="AE52" i="11"/>
  <c r="AE51" i="11"/>
  <c r="AE50" i="11"/>
  <c r="AE49" i="11"/>
  <c r="AE48" i="11"/>
  <c r="AE47" i="11"/>
  <c r="AE46" i="11"/>
  <c r="AE45" i="11"/>
  <c r="AE44" i="11"/>
  <c r="AE43" i="11"/>
  <c r="AE42" i="11"/>
  <c r="AE41" i="11"/>
  <c r="AE40" i="11"/>
  <c r="AE39" i="11"/>
  <c r="AE38" i="11"/>
  <c r="AE37" i="11"/>
  <c r="AE36" i="11"/>
  <c r="AE35" i="11"/>
  <c r="AE34" i="11"/>
  <c r="AE33" i="11"/>
  <c r="AE32" i="11"/>
  <c r="AE31" i="11"/>
  <c r="AE30" i="11"/>
  <c r="AE29" i="11"/>
  <c r="AE28" i="11"/>
  <c r="AE27" i="11"/>
  <c r="AE26" i="11"/>
  <c r="AE25" i="11"/>
  <c r="AE24" i="11"/>
  <c r="AE23" i="11"/>
  <c r="AE22" i="11"/>
  <c r="AE21" i="11"/>
  <c r="AE20" i="11"/>
  <c r="AE19" i="11"/>
  <c r="AE18" i="11"/>
  <c r="AE17" i="11"/>
  <c r="AE16" i="11"/>
  <c r="AE15" i="11"/>
  <c r="AE14" i="11"/>
  <c r="AE13" i="11"/>
  <c r="AF9" i="11"/>
  <c r="AN10" i="11"/>
  <c r="AP10" i="11" s="1"/>
  <c r="AN8" i="11"/>
  <c r="AR8" i="11" s="1"/>
  <c r="AD8" i="11" s="1"/>
  <c r="AE8" i="11" s="1"/>
  <c r="AN7" i="11"/>
  <c r="A52" i="11"/>
  <c r="J52" i="11"/>
  <c r="L52" i="11" s="1"/>
  <c r="A53" i="11"/>
  <c r="J53" i="11"/>
  <c r="L53" i="11" s="1"/>
  <c r="A54" i="11"/>
  <c r="J54" i="11"/>
  <c r="L54" i="11" s="1"/>
  <c r="A55" i="11"/>
  <c r="J55" i="11"/>
  <c r="L55" i="11" s="1"/>
  <c r="A56" i="11"/>
  <c r="J56" i="11"/>
  <c r="L56" i="11" s="1"/>
  <c r="A57" i="11"/>
  <c r="J57" i="11"/>
  <c r="L57" i="11" s="1"/>
  <c r="A58" i="11"/>
  <c r="J58" i="11"/>
  <c r="L58" i="11" s="1"/>
  <c r="A59" i="11"/>
  <c r="J59" i="11"/>
  <c r="L59" i="11" s="1"/>
  <c r="A60" i="11"/>
  <c r="J60" i="11"/>
  <c r="L60" i="11" s="1"/>
  <c r="A61" i="11"/>
  <c r="J61" i="11"/>
  <c r="L61" i="11" s="1"/>
  <c r="A62" i="11"/>
  <c r="J62" i="11"/>
  <c r="L62" i="11" s="1"/>
  <c r="A63" i="11"/>
  <c r="J63" i="11"/>
  <c r="L63" i="11" s="1"/>
  <c r="A64" i="11"/>
  <c r="J64" i="11"/>
  <c r="L64" i="11" s="1"/>
  <c r="A65" i="11"/>
  <c r="J65" i="11"/>
  <c r="L65" i="11" s="1"/>
  <c r="A66" i="11"/>
  <c r="J66" i="11"/>
  <c r="L66" i="11" s="1"/>
  <c r="A67" i="11"/>
  <c r="J67" i="11"/>
  <c r="L67" i="11" s="1"/>
  <c r="A68" i="11"/>
  <c r="J68" i="11"/>
  <c r="L68" i="11" s="1"/>
  <c r="A69" i="11"/>
  <c r="J69" i="11"/>
  <c r="L69" i="11" s="1"/>
  <c r="A70" i="11"/>
  <c r="J70" i="11"/>
  <c r="L70" i="11" s="1"/>
  <c r="A71" i="11"/>
  <c r="J71" i="11"/>
  <c r="L71" i="11" s="1"/>
  <c r="A72" i="11"/>
  <c r="J72" i="11"/>
  <c r="L72" i="11" s="1"/>
  <c r="A73" i="11"/>
  <c r="J73" i="11"/>
  <c r="L73" i="11" s="1"/>
  <c r="A74" i="11"/>
  <c r="J74" i="11"/>
  <c r="L74" i="11" s="1"/>
  <c r="A75" i="11"/>
  <c r="J75" i="11"/>
  <c r="L75" i="11" s="1"/>
  <c r="A76" i="11"/>
  <c r="J76" i="11"/>
  <c r="L76" i="11" s="1"/>
  <c r="A77" i="11"/>
  <c r="J77" i="11"/>
  <c r="L77" i="11" s="1"/>
  <c r="A78" i="11"/>
  <c r="J78" i="11"/>
  <c r="L78" i="11" s="1"/>
  <c r="A79" i="11"/>
  <c r="J79" i="11"/>
  <c r="L79" i="11" s="1"/>
  <c r="A80" i="11"/>
  <c r="J80" i="11"/>
  <c r="L80" i="11" s="1"/>
  <c r="A81" i="11"/>
  <c r="J81" i="11"/>
  <c r="L81" i="11" s="1"/>
  <c r="A82" i="11"/>
  <c r="J82" i="11"/>
  <c r="L82" i="11" s="1"/>
  <c r="A83" i="11"/>
  <c r="J83" i="11"/>
  <c r="L83" i="11" s="1"/>
  <c r="A84" i="11"/>
  <c r="J84" i="11"/>
  <c r="L84" i="11" s="1"/>
  <c r="A85" i="11"/>
  <c r="J85" i="11"/>
  <c r="L85" i="11" s="1"/>
  <c r="A86" i="11"/>
  <c r="J86" i="11"/>
  <c r="L86" i="11" s="1"/>
  <c r="A87" i="11"/>
  <c r="J87" i="11"/>
  <c r="L87" i="11" s="1"/>
  <c r="A88" i="11"/>
  <c r="J88" i="11"/>
  <c r="L88" i="11" s="1"/>
  <c r="A89" i="11"/>
  <c r="J89" i="11"/>
  <c r="L89" i="11" s="1"/>
  <c r="A90" i="11"/>
  <c r="J90" i="11"/>
  <c r="L90" i="11" s="1"/>
  <c r="A91" i="11"/>
  <c r="J91" i="11"/>
  <c r="L91" i="11" s="1"/>
  <c r="A92" i="11"/>
  <c r="J92" i="11"/>
  <c r="L92" i="11" s="1"/>
  <c r="A93" i="11"/>
  <c r="J93" i="11"/>
  <c r="L93" i="11" s="1"/>
  <c r="A94" i="11"/>
  <c r="J94" i="11"/>
  <c r="L94" i="11" s="1"/>
  <c r="A95" i="11"/>
  <c r="J95" i="11"/>
  <c r="L95" i="11" s="1"/>
  <c r="A96" i="11"/>
  <c r="J96" i="11"/>
  <c r="L96" i="11" s="1"/>
  <c r="A97" i="11"/>
  <c r="J97" i="11"/>
  <c r="L97" i="11" s="1"/>
  <c r="A98" i="11"/>
  <c r="J98" i="11"/>
  <c r="L98" i="11" s="1"/>
  <c r="A99" i="11"/>
  <c r="J99" i="11"/>
  <c r="L99" i="11" s="1"/>
  <c r="A100" i="11"/>
  <c r="J100" i="11"/>
  <c r="L100" i="11" s="1"/>
  <c r="A101" i="11"/>
  <c r="J101" i="11"/>
  <c r="L101" i="11" s="1"/>
  <c r="A102" i="11"/>
  <c r="J102" i="11"/>
  <c r="L102" i="11" s="1"/>
  <c r="A103" i="11"/>
  <c r="J103" i="11"/>
  <c r="L103" i="11" s="1"/>
  <c r="A104" i="11"/>
  <c r="J104" i="11"/>
  <c r="L104" i="11" s="1"/>
  <c r="A105" i="11"/>
  <c r="J105" i="11"/>
  <c r="L105" i="11" s="1"/>
  <c r="A106" i="11"/>
  <c r="J106" i="11"/>
  <c r="L106" i="11" s="1"/>
  <c r="A107" i="11"/>
  <c r="J107" i="11"/>
  <c r="L107" i="11" s="1"/>
  <c r="A108" i="11"/>
  <c r="J108" i="11"/>
  <c r="L108" i="11" s="1"/>
  <c r="A109" i="11"/>
  <c r="J109" i="11"/>
  <c r="L109" i="11" s="1"/>
  <c r="A110" i="11"/>
  <c r="J110" i="11"/>
  <c r="L110" i="11" s="1"/>
  <c r="A111" i="11"/>
  <c r="J111" i="11"/>
  <c r="L111" i="11" s="1"/>
  <c r="A112" i="11"/>
  <c r="J112" i="11"/>
  <c r="L112" i="11" s="1"/>
  <c r="A113" i="11"/>
  <c r="J113" i="11"/>
  <c r="L113" i="11" s="1"/>
  <c r="A114" i="11"/>
  <c r="J114" i="11"/>
  <c r="L114" i="11" s="1"/>
  <c r="A115" i="11"/>
  <c r="J115" i="11"/>
  <c r="L115" i="11" s="1"/>
  <c r="A116" i="11"/>
  <c r="J116" i="11"/>
  <c r="L116" i="11" s="1"/>
  <c r="A117" i="11"/>
  <c r="J117" i="11"/>
  <c r="L117" i="11" s="1"/>
  <c r="A118" i="11"/>
  <c r="J118" i="11"/>
  <c r="L118" i="11" s="1"/>
  <c r="A119" i="11"/>
  <c r="J119" i="11"/>
  <c r="L119" i="11" s="1"/>
  <c r="A120" i="11"/>
  <c r="J120" i="11"/>
  <c r="L120" i="11" s="1"/>
  <c r="A121" i="11"/>
  <c r="J121" i="11"/>
  <c r="L121" i="11" s="1"/>
  <c r="A122" i="11"/>
  <c r="J122" i="11"/>
  <c r="L122" i="11" s="1"/>
  <c r="A123" i="11"/>
  <c r="J123" i="11"/>
  <c r="L123" i="11" s="1"/>
  <c r="A124" i="11"/>
  <c r="J124" i="11"/>
  <c r="L124" i="11" s="1"/>
  <c r="A125" i="11"/>
  <c r="J125" i="11"/>
  <c r="L125" i="11" s="1"/>
  <c r="A126" i="11"/>
  <c r="J126" i="11"/>
  <c r="L126" i="11" s="1"/>
  <c r="A127" i="11"/>
  <c r="J127" i="11"/>
  <c r="L127" i="11" s="1"/>
  <c r="A128" i="11"/>
  <c r="J128" i="11"/>
  <c r="L128" i="11" s="1"/>
  <c r="A129" i="11"/>
  <c r="J129" i="11"/>
  <c r="L129" i="11" s="1"/>
  <c r="A130" i="11"/>
  <c r="J130" i="11"/>
  <c r="L130" i="11" s="1"/>
  <c r="A131" i="11"/>
  <c r="J131" i="11"/>
  <c r="L131" i="11" s="1"/>
  <c r="A132" i="11"/>
  <c r="J132" i="11"/>
  <c r="L132" i="11" s="1"/>
  <c r="A133" i="11"/>
  <c r="J133" i="11"/>
  <c r="L133" i="11" s="1"/>
  <c r="A134" i="11"/>
  <c r="J134" i="11"/>
  <c r="L134" i="11" s="1"/>
  <c r="A135" i="11"/>
  <c r="J135" i="11"/>
  <c r="L135" i="11" s="1"/>
  <c r="A136" i="11"/>
  <c r="J136" i="11"/>
  <c r="L136" i="11" s="1"/>
  <c r="A137" i="11"/>
  <c r="J137" i="11"/>
  <c r="L137" i="11" s="1"/>
  <c r="A138" i="11"/>
  <c r="J138" i="11"/>
  <c r="L138" i="11" s="1"/>
  <c r="A139" i="11"/>
  <c r="J139" i="11"/>
  <c r="L139" i="11" s="1"/>
  <c r="A140" i="11"/>
  <c r="J140" i="11"/>
  <c r="L140" i="11" s="1"/>
  <c r="A141" i="11"/>
  <c r="J141" i="11"/>
  <c r="L141" i="11" s="1"/>
  <c r="A142" i="11"/>
  <c r="J142" i="11"/>
  <c r="L142" i="11" s="1"/>
  <c r="A143" i="11"/>
  <c r="J143" i="11"/>
  <c r="L143" i="11" s="1"/>
  <c r="A144" i="11"/>
  <c r="J144" i="11"/>
  <c r="L144" i="11" s="1"/>
  <c r="A145" i="11"/>
  <c r="J145" i="11"/>
  <c r="L145" i="11" s="1"/>
  <c r="A146" i="11"/>
  <c r="J146" i="11"/>
  <c r="L146" i="11" s="1"/>
  <c r="A147" i="11"/>
  <c r="J147" i="11"/>
  <c r="L147" i="11" s="1"/>
  <c r="A148" i="11"/>
  <c r="J148" i="11"/>
  <c r="L148" i="11" s="1"/>
  <c r="A149" i="11"/>
  <c r="J149" i="11"/>
  <c r="L149" i="11" s="1"/>
  <c r="A150" i="11"/>
  <c r="J150" i="11"/>
  <c r="L150" i="11" s="1"/>
  <c r="A151" i="11"/>
  <c r="J151" i="11"/>
  <c r="L151" i="11" s="1"/>
  <c r="A152" i="11"/>
  <c r="J152" i="11"/>
  <c r="L152" i="11" s="1"/>
  <c r="A153" i="11"/>
  <c r="J153" i="11"/>
  <c r="L153" i="11" s="1"/>
  <c r="A154" i="11"/>
  <c r="J154" i="11"/>
  <c r="L154" i="11" s="1"/>
  <c r="A155" i="11"/>
  <c r="J155" i="11"/>
  <c r="L155" i="11" s="1"/>
  <c r="A156" i="11"/>
  <c r="J156" i="11"/>
  <c r="L156" i="11" s="1"/>
  <c r="A157" i="11"/>
  <c r="J157" i="11"/>
  <c r="L157" i="11" s="1"/>
  <c r="A158" i="11"/>
  <c r="J158" i="11"/>
  <c r="L158" i="11" s="1"/>
  <c r="A159" i="11"/>
  <c r="J159" i="11"/>
  <c r="L159" i="11" s="1"/>
  <c r="A160" i="11"/>
  <c r="J160" i="11"/>
  <c r="L160" i="11" s="1"/>
  <c r="A161" i="11"/>
  <c r="J161" i="11"/>
  <c r="L161" i="11" s="1"/>
  <c r="A162" i="11"/>
  <c r="J162" i="11"/>
  <c r="L162" i="11" s="1"/>
  <c r="A163" i="11"/>
  <c r="J163" i="11"/>
  <c r="L163" i="11" s="1"/>
  <c r="A164" i="11"/>
  <c r="J164" i="11"/>
  <c r="L164" i="11" s="1"/>
  <c r="A165" i="11"/>
  <c r="J165" i="11"/>
  <c r="L165" i="11" s="1"/>
  <c r="A166" i="11"/>
  <c r="J166" i="11"/>
  <c r="L166" i="11" s="1"/>
  <c r="A167" i="11"/>
  <c r="J167" i="11"/>
  <c r="L167" i="11" s="1"/>
  <c r="A168" i="11"/>
  <c r="J168" i="11"/>
  <c r="L168" i="11" s="1"/>
  <c r="A169" i="11"/>
  <c r="J169" i="11"/>
  <c r="L169" i="11" s="1"/>
  <c r="A170" i="11"/>
  <c r="J170" i="11"/>
  <c r="L170" i="11" s="1"/>
  <c r="A171" i="11"/>
  <c r="J171" i="11"/>
  <c r="L171" i="11" s="1"/>
  <c r="A172" i="11"/>
  <c r="J172" i="11"/>
  <c r="L172" i="11" s="1"/>
  <c r="A173" i="11"/>
  <c r="J173" i="11"/>
  <c r="L173" i="11" s="1"/>
  <c r="A174" i="11"/>
  <c r="J174" i="11"/>
  <c r="L174" i="11" s="1"/>
  <c r="A175" i="11"/>
  <c r="J175" i="11"/>
  <c r="L175" i="11" s="1"/>
  <c r="A176" i="11"/>
  <c r="J176" i="11"/>
  <c r="L176" i="11" s="1"/>
  <c r="A177" i="11"/>
  <c r="J177" i="11"/>
  <c r="L177" i="11" s="1"/>
  <c r="A178" i="11"/>
  <c r="J178" i="11"/>
  <c r="L178" i="11" s="1"/>
  <c r="A179" i="11"/>
  <c r="J179" i="11"/>
  <c r="L179" i="11" s="1"/>
  <c r="A180" i="11"/>
  <c r="J180" i="11"/>
  <c r="L180" i="11" s="1"/>
  <c r="A181" i="11"/>
  <c r="J181" i="11"/>
  <c r="L181" i="11" s="1"/>
  <c r="A182" i="11"/>
  <c r="J182" i="11"/>
  <c r="L182" i="11" s="1"/>
  <c r="A183" i="11"/>
  <c r="J183" i="11"/>
  <c r="L183" i="11" s="1"/>
  <c r="A184" i="11"/>
  <c r="J184" i="11"/>
  <c r="L184" i="11" s="1"/>
  <c r="A185" i="11"/>
  <c r="J185" i="11"/>
  <c r="L185" i="11" s="1"/>
  <c r="A186" i="11"/>
  <c r="J186" i="11"/>
  <c r="L186" i="11" s="1"/>
  <c r="A187" i="11"/>
  <c r="J187" i="11"/>
  <c r="L187" i="11" s="1"/>
  <c r="A188" i="11"/>
  <c r="J188" i="11"/>
  <c r="L188" i="11" s="1"/>
  <c r="A189" i="11"/>
  <c r="J189" i="11"/>
  <c r="L189" i="11" s="1"/>
  <c r="A190" i="11"/>
  <c r="J190" i="11"/>
  <c r="L190" i="11" s="1"/>
  <c r="A191" i="11"/>
  <c r="J191" i="11"/>
  <c r="L191" i="11" s="1"/>
  <c r="A192" i="11"/>
  <c r="J192" i="11"/>
  <c r="L192" i="11" s="1"/>
  <c r="A193" i="11"/>
  <c r="J193" i="11"/>
  <c r="L193" i="11" s="1"/>
  <c r="A194" i="11"/>
  <c r="J194" i="11"/>
  <c r="L194" i="11" s="1"/>
  <c r="A195" i="11"/>
  <c r="J195" i="11"/>
  <c r="L195" i="11" s="1"/>
  <c r="A196" i="11"/>
  <c r="J196" i="11"/>
  <c r="L196" i="11" s="1"/>
  <c r="A197" i="11"/>
  <c r="J197" i="11"/>
  <c r="L197" i="11" s="1"/>
  <c r="A198" i="11"/>
  <c r="J198" i="11"/>
  <c r="L198" i="11" s="1"/>
  <c r="A199" i="11"/>
  <c r="J199" i="11"/>
  <c r="L199" i="11" s="1"/>
  <c r="A200" i="11"/>
  <c r="J200" i="11"/>
  <c r="L200" i="11" s="1"/>
  <c r="A201" i="11"/>
  <c r="J201" i="11"/>
  <c r="L201" i="11" s="1"/>
  <c r="A202" i="11"/>
  <c r="J202" i="11"/>
  <c r="L202" i="11" s="1"/>
  <c r="A203" i="11"/>
  <c r="J203" i="11"/>
  <c r="L203" i="11" s="1"/>
  <c r="A204" i="11"/>
  <c r="J204" i="11"/>
  <c r="L204" i="11" s="1"/>
  <c r="A205" i="11"/>
  <c r="J205" i="11"/>
  <c r="L205" i="11" s="1"/>
  <c r="A206" i="11"/>
  <c r="J206" i="11"/>
  <c r="L206" i="11" s="1"/>
  <c r="A207" i="11"/>
  <c r="J207" i="11"/>
  <c r="L207" i="11" s="1"/>
  <c r="A208" i="11"/>
  <c r="J208" i="11"/>
  <c r="L208" i="11" s="1"/>
  <c r="A209" i="11"/>
  <c r="J209" i="11"/>
  <c r="L209" i="11" s="1"/>
  <c r="A210" i="11"/>
  <c r="J210" i="11"/>
  <c r="L210" i="11" s="1"/>
  <c r="A211" i="11"/>
  <c r="J211" i="11"/>
  <c r="L211" i="11" s="1"/>
  <c r="A212" i="11"/>
  <c r="J212" i="11"/>
  <c r="L212" i="11" s="1"/>
  <c r="A213" i="11"/>
  <c r="J213" i="11"/>
  <c r="L213" i="11" s="1"/>
  <c r="A214" i="11"/>
  <c r="J214" i="11"/>
  <c r="L214" i="11" s="1"/>
  <c r="A215" i="11"/>
  <c r="J215" i="11"/>
  <c r="L215" i="11" s="1"/>
  <c r="A216" i="11"/>
  <c r="J216" i="11"/>
  <c r="L216" i="11" s="1"/>
  <c r="A217" i="11"/>
  <c r="J217" i="11"/>
  <c r="L217" i="11" s="1"/>
  <c r="A218" i="11"/>
  <c r="J218" i="11"/>
  <c r="L218" i="11" s="1"/>
  <c r="A219" i="11"/>
  <c r="J219" i="11"/>
  <c r="L219" i="11" s="1"/>
  <c r="A220" i="11"/>
  <c r="J220" i="11"/>
  <c r="L220" i="11" s="1"/>
  <c r="A221" i="11"/>
  <c r="J221" i="11"/>
  <c r="L221" i="11" s="1"/>
  <c r="A222" i="11"/>
  <c r="J222" i="11"/>
  <c r="L222" i="11" s="1"/>
  <c r="A223" i="11"/>
  <c r="J223" i="11"/>
  <c r="L223" i="11" s="1"/>
  <c r="A224" i="11"/>
  <c r="J224" i="11"/>
  <c r="L224" i="11" s="1"/>
  <c r="A225" i="11"/>
  <c r="J225" i="11"/>
  <c r="L225" i="11" s="1"/>
  <c r="A226" i="11"/>
  <c r="J226" i="11"/>
  <c r="L226" i="11" s="1"/>
  <c r="A227" i="11"/>
  <c r="J227" i="11"/>
  <c r="L227" i="11" s="1"/>
  <c r="A228" i="11"/>
  <c r="J228" i="11"/>
  <c r="L228" i="11" s="1"/>
  <c r="A229" i="11"/>
  <c r="J229" i="11"/>
  <c r="L229" i="11" s="1"/>
  <c r="A230" i="11"/>
  <c r="J230" i="11"/>
  <c r="L230" i="11" s="1"/>
  <c r="A231" i="11"/>
  <c r="J231" i="11"/>
  <c r="L231" i="11" s="1"/>
  <c r="A232" i="11"/>
  <c r="J232" i="11"/>
  <c r="L232" i="11" s="1"/>
  <c r="A233" i="11"/>
  <c r="J233" i="11"/>
  <c r="L233" i="11" s="1"/>
  <c r="A234" i="11"/>
  <c r="J234" i="11"/>
  <c r="L234" i="11" s="1"/>
  <c r="A235" i="11"/>
  <c r="J235" i="11"/>
  <c r="L235" i="11" s="1"/>
  <c r="A236" i="11"/>
  <c r="J236" i="11"/>
  <c r="L236" i="11" s="1"/>
  <c r="A237" i="11"/>
  <c r="J237" i="11"/>
  <c r="L237" i="11" s="1"/>
  <c r="A238" i="11"/>
  <c r="J238" i="11"/>
  <c r="L238" i="11" s="1"/>
  <c r="A239" i="11"/>
  <c r="J239" i="11"/>
  <c r="L239" i="11" s="1"/>
  <c r="A240" i="11"/>
  <c r="J240" i="11"/>
  <c r="L240" i="11" s="1"/>
  <c r="A241" i="11"/>
  <c r="J241" i="11"/>
  <c r="L241" i="11" s="1"/>
  <c r="A242" i="11"/>
  <c r="J242" i="11"/>
  <c r="L242" i="11" s="1"/>
  <c r="A243" i="11"/>
  <c r="J243" i="11"/>
  <c r="L243" i="11" s="1"/>
  <c r="A244" i="11"/>
  <c r="J244" i="11"/>
  <c r="L244" i="11" s="1"/>
  <c r="A245" i="11"/>
  <c r="J245" i="11"/>
  <c r="L245" i="11" s="1"/>
  <c r="A246" i="11"/>
  <c r="J246" i="11"/>
  <c r="L246" i="11" s="1"/>
  <c r="A247" i="11"/>
  <c r="J247" i="11"/>
  <c r="L247" i="11" s="1"/>
  <c r="A248" i="11"/>
  <c r="J248" i="11"/>
  <c r="L248" i="11" s="1"/>
  <c r="A249" i="11"/>
  <c r="J249" i="11"/>
  <c r="L249" i="11" s="1"/>
  <c r="A250" i="11"/>
  <c r="J250" i="11"/>
  <c r="L250" i="11" s="1"/>
  <c r="A251" i="11"/>
  <c r="J251" i="11"/>
  <c r="L251" i="11" s="1"/>
  <c r="A252" i="11"/>
  <c r="J252" i="11"/>
  <c r="L252" i="11" s="1"/>
  <c r="A253" i="11"/>
  <c r="J253" i="11"/>
  <c r="L253" i="11" s="1"/>
  <c r="A254" i="11"/>
  <c r="J254" i="11"/>
  <c r="L254" i="11" s="1"/>
  <c r="A255" i="11"/>
  <c r="J255" i="11"/>
  <c r="L255" i="11" s="1"/>
  <c r="A256" i="11"/>
  <c r="J256" i="11"/>
  <c r="L256" i="11" s="1"/>
  <c r="A257" i="11"/>
  <c r="J257" i="11"/>
  <c r="L257" i="11" s="1"/>
  <c r="A258" i="11"/>
  <c r="J258" i="11"/>
  <c r="L258" i="11" s="1"/>
  <c r="A259" i="11"/>
  <c r="J259" i="11"/>
  <c r="L259" i="11" s="1"/>
  <c r="A260" i="11"/>
  <c r="J260" i="11"/>
  <c r="L260" i="11" s="1"/>
  <c r="A261" i="11"/>
  <c r="J261" i="11"/>
  <c r="L261" i="11" s="1"/>
  <c r="A262" i="11"/>
  <c r="J262" i="11"/>
  <c r="L262" i="11" s="1"/>
  <c r="A263" i="11"/>
  <c r="J263" i="11"/>
  <c r="L263" i="11" s="1"/>
  <c r="A264" i="11"/>
  <c r="J264" i="11"/>
  <c r="L264" i="11" s="1"/>
  <c r="A265" i="11"/>
  <c r="J265" i="11"/>
  <c r="L265" i="11" s="1"/>
  <c r="A266" i="11"/>
  <c r="J266" i="11"/>
  <c r="L266" i="11" s="1"/>
  <c r="A267" i="11"/>
  <c r="J267" i="11"/>
  <c r="L267" i="11" s="1"/>
  <c r="A268" i="11"/>
  <c r="J268" i="11"/>
  <c r="L268" i="11" s="1"/>
  <c r="A269" i="11"/>
  <c r="J269" i="11"/>
  <c r="L269" i="11" s="1"/>
  <c r="A270" i="11"/>
  <c r="J270" i="11"/>
  <c r="L270" i="11" s="1"/>
  <c r="A271" i="11"/>
  <c r="J271" i="11"/>
  <c r="L271" i="11" s="1"/>
  <c r="A272" i="11"/>
  <c r="J272" i="11"/>
  <c r="L272" i="11" s="1"/>
  <c r="A273" i="11"/>
  <c r="J273" i="11"/>
  <c r="L273" i="11" s="1"/>
  <c r="A274" i="11"/>
  <c r="J274" i="11"/>
  <c r="L274" i="11" s="1"/>
  <c r="A275" i="11"/>
  <c r="J275" i="11"/>
  <c r="L275" i="11" s="1"/>
  <c r="A276" i="11"/>
  <c r="J276" i="11"/>
  <c r="L276" i="11" s="1"/>
  <c r="A277" i="11"/>
  <c r="J277" i="11"/>
  <c r="L277" i="11" s="1"/>
  <c r="A278" i="11"/>
  <c r="J278" i="11"/>
  <c r="L278" i="11" s="1"/>
  <c r="A279" i="11"/>
  <c r="J279" i="11"/>
  <c r="L279" i="11" s="1"/>
  <c r="A280" i="11"/>
  <c r="J280" i="11"/>
  <c r="L280" i="11" s="1"/>
  <c r="A281" i="11"/>
  <c r="J281" i="11"/>
  <c r="L281" i="11" s="1"/>
  <c r="A282" i="11"/>
  <c r="J282" i="11"/>
  <c r="L282" i="11" s="1"/>
  <c r="A283" i="11"/>
  <c r="J283" i="11"/>
  <c r="L283" i="11" s="1"/>
  <c r="A284" i="11"/>
  <c r="J284" i="11"/>
  <c r="L284" i="11" s="1"/>
  <c r="A285" i="11"/>
  <c r="J285" i="11"/>
  <c r="L285" i="11" s="1"/>
  <c r="A286" i="11"/>
  <c r="J286" i="11"/>
  <c r="L286" i="11" s="1"/>
  <c r="A287" i="11"/>
  <c r="J287" i="11"/>
  <c r="L287" i="11" s="1"/>
  <c r="A288" i="11"/>
  <c r="J288" i="11"/>
  <c r="L288" i="11" s="1"/>
  <c r="A289" i="11"/>
  <c r="J289" i="11"/>
  <c r="L289" i="11" s="1"/>
  <c r="A290" i="11"/>
  <c r="J290" i="11"/>
  <c r="L290" i="11" s="1"/>
  <c r="A291" i="11"/>
  <c r="J291" i="11"/>
  <c r="L291" i="11" s="1"/>
  <c r="A292" i="11"/>
  <c r="J292" i="11"/>
  <c r="L292" i="11" s="1"/>
  <c r="A293" i="11"/>
  <c r="J293" i="11"/>
  <c r="L293" i="11" s="1"/>
  <c r="A294" i="11"/>
  <c r="J294" i="11"/>
  <c r="L294" i="11" s="1"/>
  <c r="A295" i="11"/>
  <c r="J295" i="11"/>
  <c r="L295" i="11" s="1"/>
  <c r="A296" i="11"/>
  <c r="J296" i="11"/>
  <c r="L296" i="11" s="1"/>
  <c r="A297" i="11"/>
  <c r="J297" i="11"/>
  <c r="L297" i="11" s="1"/>
  <c r="A298" i="11"/>
  <c r="J298" i="11"/>
  <c r="L298" i="11" s="1"/>
  <c r="A299" i="11"/>
  <c r="J299" i="11"/>
  <c r="L299" i="11" s="1"/>
  <c r="A300" i="11"/>
  <c r="J300" i="11"/>
  <c r="L300" i="11" s="1"/>
  <c r="A301" i="11"/>
  <c r="J301" i="11"/>
  <c r="L301" i="11" s="1"/>
  <c r="A302" i="11"/>
  <c r="J302" i="11"/>
  <c r="L302" i="11" s="1"/>
  <c r="A303" i="11"/>
  <c r="J303" i="11"/>
  <c r="L303" i="11" s="1"/>
  <c r="A304" i="11"/>
  <c r="J304" i="11"/>
  <c r="L304" i="11" s="1"/>
  <c r="A305" i="11"/>
  <c r="J305" i="11"/>
  <c r="L305" i="11" s="1"/>
  <c r="A306" i="11"/>
  <c r="J306" i="11"/>
  <c r="L306" i="11" s="1"/>
  <c r="A307" i="11"/>
  <c r="J307" i="11"/>
  <c r="L307" i="11" s="1"/>
  <c r="A308" i="11"/>
  <c r="J308" i="11"/>
  <c r="L308" i="11" s="1"/>
  <c r="A309" i="11"/>
  <c r="J309" i="11"/>
  <c r="L309" i="11" s="1"/>
  <c r="A310" i="11"/>
  <c r="J310" i="11"/>
  <c r="L310" i="11" s="1"/>
  <c r="A311" i="11"/>
  <c r="J311" i="11"/>
  <c r="L311" i="11" s="1"/>
  <c r="A312" i="11"/>
  <c r="J312" i="11"/>
  <c r="L312" i="11" s="1"/>
  <c r="A313" i="11"/>
  <c r="J313" i="11"/>
  <c r="L313" i="11" s="1"/>
  <c r="A314" i="11"/>
  <c r="J314" i="11"/>
  <c r="L314" i="11" s="1"/>
  <c r="A315" i="11"/>
  <c r="J315" i="11"/>
  <c r="L315" i="11" s="1"/>
  <c r="A316" i="11"/>
  <c r="J316" i="11"/>
  <c r="L316" i="11" s="1"/>
  <c r="A317" i="11"/>
  <c r="J317" i="11"/>
  <c r="L317" i="11" s="1"/>
  <c r="A318" i="11"/>
  <c r="J318" i="11"/>
  <c r="L318" i="11" s="1"/>
  <c r="A319" i="11"/>
  <c r="J319" i="11"/>
  <c r="L319" i="11" s="1"/>
  <c r="A320" i="11"/>
  <c r="J320" i="11"/>
  <c r="L320" i="11" s="1"/>
  <c r="A321" i="11"/>
  <c r="J321" i="11"/>
  <c r="L321" i="11" s="1"/>
  <c r="A322" i="11"/>
  <c r="J322" i="11"/>
  <c r="L322" i="11" s="1"/>
  <c r="A323" i="11"/>
  <c r="J323" i="11"/>
  <c r="L323" i="11" s="1"/>
  <c r="A324" i="11"/>
  <c r="J324" i="11"/>
  <c r="L324" i="11" s="1"/>
  <c r="A325" i="11"/>
  <c r="J325" i="11"/>
  <c r="L325" i="11" s="1"/>
  <c r="A326" i="11"/>
  <c r="J326" i="11"/>
  <c r="L326" i="11" s="1"/>
  <c r="A327" i="11"/>
  <c r="J327" i="11"/>
  <c r="L327" i="11" s="1"/>
  <c r="A328" i="11"/>
  <c r="J328" i="11"/>
  <c r="L328" i="11" s="1"/>
  <c r="A329" i="11"/>
  <c r="J329" i="11"/>
  <c r="L329" i="11" s="1"/>
  <c r="A330" i="11"/>
  <c r="J330" i="11"/>
  <c r="L330" i="11" s="1"/>
  <c r="A331" i="11"/>
  <c r="J331" i="11"/>
  <c r="L331" i="11" s="1"/>
  <c r="A332" i="11"/>
  <c r="J332" i="11"/>
  <c r="L332" i="11" s="1"/>
  <c r="A333" i="11"/>
  <c r="J333" i="11"/>
  <c r="L333" i="11" s="1"/>
  <c r="A334" i="11"/>
  <c r="J334" i="11"/>
  <c r="L334" i="11" s="1"/>
  <c r="A335" i="11"/>
  <c r="J335" i="11"/>
  <c r="L335" i="11" s="1"/>
  <c r="A336" i="11"/>
  <c r="J336" i="11"/>
  <c r="L336" i="11" s="1"/>
  <c r="A337" i="11"/>
  <c r="J337" i="11"/>
  <c r="L337" i="11" s="1"/>
  <c r="A338" i="11"/>
  <c r="J338" i="11"/>
  <c r="L338" i="11" s="1"/>
  <c r="A339" i="11"/>
  <c r="J339" i="11"/>
  <c r="L339" i="11" s="1"/>
  <c r="A340" i="11"/>
  <c r="J340" i="11"/>
  <c r="L340" i="11" s="1"/>
  <c r="A341" i="11"/>
  <c r="J341" i="11"/>
  <c r="L341" i="11" s="1"/>
  <c r="A342" i="11"/>
  <c r="J342" i="11"/>
  <c r="L342" i="11" s="1"/>
  <c r="A343" i="11"/>
  <c r="J343" i="11"/>
  <c r="L343" i="11" s="1"/>
  <c r="A344" i="11"/>
  <c r="J344" i="11"/>
  <c r="L344" i="11" s="1"/>
  <c r="A345" i="11"/>
  <c r="J345" i="11"/>
  <c r="L345" i="11" s="1"/>
  <c r="A346" i="11"/>
  <c r="J346" i="11"/>
  <c r="L346" i="11" s="1"/>
  <c r="A347" i="11"/>
  <c r="J347" i="11"/>
  <c r="L347" i="11" s="1"/>
  <c r="A348" i="11"/>
  <c r="J348" i="11"/>
  <c r="L348" i="11" s="1"/>
  <c r="A349" i="11"/>
  <c r="J349" i="11"/>
  <c r="L349" i="11" s="1"/>
  <c r="A350" i="11"/>
  <c r="J350" i="11"/>
  <c r="L350" i="11" s="1"/>
  <c r="A351" i="11"/>
  <c r="J351" i="11"/>
  <c r="L351" i="11" s="1"/>
  <c r="A352" i="11"/>
  <c r="J352" i="11"/>
  <c r="L352" i="11" s="1"/>
  <c r="A353" i="11"/>
  <c r="J353" i="11"/>
  <c r="L353" i="11" s="1"/>
  <c r="A354" i="11"/>
  <c r="J354" i="11"/>
  <c r="L354" i="11" s="1"/>
  <c r="A355" i="11"/>
  <c r="J355" i="11"/>
  <c r="L355" i="11" s="1"/>
  <c r="A356" i="11"/>
  <c r="J356" i="11"/>
  <c r="L356" i="11" s="1"/>
  <c r="A357" i="11"/>
  <c r="J357" i="11"/>
  <c r="L357" i="11" s="1"/>
  <c r="A358" i="11"/>
  <c r="J358" i="11"/>
  <c r="L358" i="11" s="1"/>
  <c r="A359" i="11"/>
  <c r="J359" i="11"/>
  <c r="L359" i="11" s="1"/>
  <c r="A360" i="11"/>
  <c r="J360" i="11"/>
  <c r="L360" i="11" s="1"/>
  <c r="A361" i="11"/>
  <c r="J361" i="11"/>
  <c r="L361" i="11" s="1"/>
  <c r="A362" i="11"/>
  <c r="J362" i="11"/>
  <c r="L362" i="11" s="1"/>
  <c r="A363" i="11"/>
  <c r="J363" i="11"/>
  <c r="L363" i="11" s="1"/>
  <c r="A364" i="11"/>
  <c r="J364" i="11"/>
  <c r="L364" i="11" s="1"/>
  <c r="A365" i="11"/>
  <c r="J365" i="11"/>
  <c r="L365" i="11" s="1"/>
  <c r="A366" i="11"/>
  <c r="J366" i="11"/>
  <c r="L366" i="11" s="1"/>
  <c r="A367" i="11"/>
  <c r="J367" i="11"/>
  <c r="L367" i="11" s="1"/>
  <c r="A368" i="11"/>
  <c r="J368" i="11"/>
  <c r="L368" i="11" s="1"/>
  <c r="A369" i="11"/>
  <c r="J369" i="11"/>
  <c r="L369" i="11" s="1"/>
  <c r="A370" i="11"/>
  <c r="J370" i="11"/>
  <c r="L370" i="11" s="1"/>
  <c r="A371" i="11"/>
  <c r="J371" i="11"/>
  <c r="L371" i="11" s="1"/>
  <c r="A372" i="11"/>
  <c r="J372" i="11"/>
  <c r="L372" i="11" s="1"/>
  <c r="A373" i="11"/>
  <c r="J373" i="11"/>
  <c r="L373" i="11" s="1"/>
  <c r="A374" i="11"/>
  <c r="J374" i="11"/>
  <c r="L374" i="11" s="1"/>
  <c r="A375" i="11"/>
  <c r="J375" i="11"/>
  <c r="L375" i="11" s="1"/>
  <c r="A376" i="11"/>
  <c r="J376" i="11"/>
  <c r="L376" i="11" s="1"/>
  <c r="A377" i="11"/>
  <c r="J377" i="11"/>
  <c r="L377" i="11" s="1"/>
  <c r="A378" i="11"/>
  <c r="J378" i="11"/>
  <c r="L378" i="11" s="1"/>
  <c r="A379" i="11"/>
  <c r="J379" i="11"/>
  <c r="L379" i="11" s="1"/>
  <c r="A380" i="11"/>
  <c r="J380" i="11"/>
  <c r="L380" i="11" s="1"/>
  <c r="A381" i="11"/>
  <c r="J381" i="11"/>
  <c r="L381" i="11" s="1"/>
  <c r="A382" i="11"/>
  <c r="J382" i="11"/>
  <c r="L382" i="11" s="1"/>
  <c r="A383" i="11"/>
  <c r="J383" i="11"/>
  <c r="L383" i="11" s="1"/>
  <c r="A384" i="11"/>
  <c r="J384" i="11"/>
  <c r="L384" i="11" s="1"/>
  <c r="A385" i="11"/>
  <c r="J385" i="11"/>
  <c r="L385" i="11" s="1"/>
  <c r="A386" i="11"/>
  <c r="J386" i="11"/>
  <c r="L386" i="11" s="1"/>
  <c r="A387" i="11"/>
  <c r="J387" i="11"/>
  <c r="L387" i="11" s="1"/>
  <c r="A388" i="11"/>
  <c r="J388" i="11"/>
  <c r="L388" i="11" s="1"/>
  <c r="A389" i="11"/>
  <c r="J389" i="11"/>
  <c r="L389" i="11" s="1"/>
  <c r="A390" i="11"/>
  <c r="J390" i="11"/>
  <c r="L390" i="11" s="1"/>
  <c r="A391" i="11"/>
  <c r="J391" i="11"/>
  <c r="L391" i="11" s="1"/>
  <c r="A392" i="11"/>
  <c r="J392" i="11"/>
  <c r="L392" i="11" s="1"/>
  <c r="A393" i="11"/>
  <c r="J393" i="11"/>
  <c r="L393" i="11" s="1"/>
  <c r="A394" i="11"/>
  <c r="J394" i="11"/>
  <c r="L394" i="11" s="1"/>
  <c r="A395" i="11"/>
  <c r="J395" i="11"/>
  <c r="L395" i="11" s="1"/>
  <c r="A396" i="11"/>
  <c r="J396" i="11"/>
  <c r="L396" i="11" s="1"/>
  <c r="A397" i="11"/>
  <c r="J397" i="11"/>
  <c r="L397" i="11" s="1"/>
  <c r="A398" i="11"/>
  <c r="J398" i="11"/>
  <c r="L398" i="11" s="1"/>
  <c r="A399" i="11"/>
  <c r="J399" i="11"/>
  <c r="L399" i="11" s="1"/>
  <c r="A400" i="11"/>
  <c r="J400" i="11"/>
  <c r="L400" i="11" s="1"/>
  <c r="A401" i="11"/>
  <c r="J401" i="11"/>
  <c r="L401" i="11" s="1"/>
  <c r="A402" i="11"/>
  <c r="J402" i="11"/>
  <c r="L402" i="11" s="1"/>
  <c r="A403" i="11"/>
  <c r="J403" i="11"/>
  <c r="L403" i="11" s="1"/>
  <c r="A404" i="11"/>
  <c r="J404" i="11"/>
  <c r="L404" i="11" s="1"/>
  <c r="A405" i="11"/>
  <c r="J405" i="11"/>
  <c r="L405" i="11" s="1"/>
  <c r="A406" i="11"/>
  <c r="J406" i="11"/>
  <c r="L406" i="11" s="1"/>
  <c r="A407" i="11"/>
  <c r="J407" i="11"/>
  <c r="L407" i="11" s="1"/>
  <c r="A408" i="11"/>
  <c r="J408" i="11"/>
  <c r="L408" i="11" s="1"/>
  <c r="A409" i="11"/>
  <c r="J409" i="11"/>
  <c r="L409" i="11" s="1"/>
  <c r="A410" i="11"/>
  <c r="J410" i="11"/>
  <c r="L410" i="11" s="1"/>
  <c r="A411" i="11"/>
  <c r="J411" i="11"/>
  <c r="L411" i="11" s="1"/>
  <c r="A412" i="11"/>
  <c r="J412" i="11"/>
  <c r="L412" i="11" s="1"/>
  <c r="A413" i="11"/>
  <c r="J413" i="11"/>
  <c r="L413" i="11" s="1"/>
  <c r="A414" i="11"/>
  <c r="J414" i="11"/>
  <c r="L414" i="11" s="1"/>
  <c r="A415" i="11"/>
  <c r="J415" i="11"/>
  <c r="L415" i="11" s="1"/>
  <c r="A416" i="11"/>
  <c r="J416" i="11"/>
  <c r="L416" i="11" s="1"/>
  <c r="A417" i="11"/>
  <c r="J417" i="11"/>
  <c r="L417" i="11" s="1"/>
  <c r="A418" i="11"/>
  <c r="J418" i="11"/>
  <c r="L418" i="11" s="1"/>
  <c r="A419" i="11"/>
  <c r="J419" i="11"/>
  <c r="L419" i="11" s="1"/>
  <c r="A420" i="11"/>
  <c r="J420" i="11"/>
  <c r="L420" i="11" s="1"/>
  <c r="A421" i="11"/>
  <c r="J421" i="11"/>
  <c r="L421" i="11" s="1"/>
  <c r="A422" i="11"/>
  <c r="J422" i="11"/>
  <c r="L422" i="11" s="1"/>
  <c r="A423" i="11"/>
  <c r="J423" i="11"/>
  <c r="L423" i="11" s="1"/>
  <c r="A424" i="11"/>
  <c r="J424" i="11"/>
  <c r="L424" i="11" s="1"/>
  <c r="A425" i="11"/>
  <c r="J425" i="11"/>
  <c r="L425" i="11" s="1"/>
  <c r="A426" i="11"/>
  <c r="J426" i="11"/>
  <c r="L426" i="11" s="1"/>
  <c r="A427" i="11"/>
  <c r="J427" i="11"/>
  <c r="L427" i="11" s="1"/>
  <c r="A428" i="11"/>
  <c r="J428" i="11"/>
  <c r="L428" i="11" s="1"/>
  <c r="A429" i="11"/>
  <c r="J429" i="11"/>
  <c r="L429" i="11" s="1"/>
  <c r="A430" i="11"/>
  <c r="J430" i="11"/>
  <c r="L430" i="11" s="1"/>
  <c r="A431" i="11"/>
  <c r="J431" i="11"/>
  <c r="L431" i="11" s="1"/>
  <c r="A432" i="11"/>
  <c r="J432" i="11"/>
  <c r="L432" i="11" s="1"/>
  <c r="A433" i="11"/>
  <c r="J433" i="11"/>
  <c r="L433" i="11" s="1"/>
  <c r="A434" i="11"/>
  <c r="J434" i="11"/>
  <c r="L434" i="11" s="1"/>
  <c r="A435" i="11"/>
  <c r="J435" i="11"/>
  <c r="L435" i="11" s="1"/>
  <c r="A436" i="11"/>
  <c r="J436" i="11"/>
  <c r="L436" i="11" s="1"/>
  <c r="A437" i="11"/>
  <c r="J437" i="11"/>
  <c r="L437" i="11" s="1"/>
  <c r="A438" i="11"/>
  <c r="J438" i="11"/>
  <c r="L438" i="11" s="1"/>
  <c r="A439" i="11"/>
  <c r="J439" i="11"/>
  <c r="L439" i="11" s="1"/>
  <c r="A440" i="11"/>
  <c r="J440" i="11"/>
  <c r="L440" i="11" s="1"/>
  <c r="A441" i="11"/>
  <c r="J441" i="11"/>
  <c r="L441" i="11" s="1"/>
  <c r="A442" i="11"/>
  <c r="J442" i="11"/>
  <c r="L442" i="11" s="1"/>
  <c r="A443" i="11"/>
  <c r="J443" i="11"/>
  <c r="L443" i="11" s="1"/>
  <c r="A444" i="11"/>
  <c r="J444" i="11"/>
  <c r="L444" i="11" s="1"/>
  <c r="A445" i="11"/>
  <c r="J445" i="11"/>
  <c r="L445" i="11" s="1"/>
  <c r="A446" i="11"/>
  <c r="J446" i="11"/>
  <c r="L446" i="11" s="1"/>
  <c r="A447" i="11"/>
  <c r="J447" i="11"/>
  <c r="L447" i="11" s="1"/>
  <c r="A448" i="11"/>
  <c r="J448" i="11"/>
  <c r="L448" i="11" s="1"/>
  <c r="A449" i="11"/>
  <c r="J449" i="11"/>
  <c r="L449" i="11" s="1"/>
  <c r="A450" i="11"/>
  <c r="J450" i="11"/>
  <c r="L450" i="11" s="1"/>
  <c r="A451" i="11"/>
  <c r="J451" i="11"/>
  <c r="L451" i="11" s="1"/>
  <c r="A452" i="11"/>
  <c r="J452" i="11"/>
  <c r="L452" i="11" s="1"/>
  <c r="A453" i="11"/>
  <c r="J453" i="11"/>
  <c r="L453" i="11" s="1"/>
  <c r="A454" i="11"/>
  <c r="J454" i="11"/>
  <c r="L454" i="11" s="1"/>
  <c r="A455" i="11"/>
  <c r="J455" i="11"/>
  <c r="L455" i="11" s="1"/>
  <c r="A456" i="11"/>
  <c r="J456" i="11"/>
  <c r="L456" i="11" s="1"/>
  <c r="A457" i="11"/>
  <c r="J457" i="11"/>
  <c r="L457" i="11" s="1"/>
  <c r="A458" i="11"/>
  <c r="J458" i="11"/>
  <c r="L458" i="11" s="1"/>
  <c r="A459" i="11"/>
  <c r="J459" i="11"/>
  <c r="L459" i="11" s="1"/>
  <c r="A460" i="11"/>
  <c r="J460" i="11"/>
  <c r="L460" i="11" s="1"/>
  <c r="A461" i="11"/>
  <c r="J461" i="11"/>
  <c r="L461" i="11" s="1"/>
  <c r="A462" i="11"/>
  <c r="J462" i="11"/>
  <c r="L462" i="11" s="1"/>
  <c r="A463" i="11"/>
  <c r="J463" i="11"/>
  <c r="L463" i="11" s="1"/>
  <c r="A464" i="11"/>
  <c r="J464" i="11"/>
  <c r="L464" i="11" s="1"/>
  <c r="A465" i="11"/>
  <c r="J465" i="11"/>
  <c r="L465" i="11" s="1"/>
  <c r="A466" i="11"/>
  <c r="J466" i="11"/>
  <c r="L466" i="11" s="1"/>
  <c r="A467" i="11"/>
  <c r="J467" i="11"/>
  <c r="L467" i="11" s="1"/>
  <c r="A468" i="11"/>
  <c r="J468" i="11"/>
  <c r="L468" i="11" s="1"/>
  <c r="A469" i="11"/>
  <c r="J469" i="11"/>
  <c r="L469" i="11" s="1"/>
  <c r="A470" i="11"/>
  <c r="J470" i="11"/>
  <c r="L470" i="11" s="1"/>
  <c r="A471" i="11"/>
  <c r="J471" i="11"/>
  <c r="L471" i="11" s="1"/>
  <c r="A472" i="11"/>
  <c r="J472" i="11"/>
  <c r="L472" i="11" s="1"/>
  <c r="A473" i="11"/>
  <c r="J473" i="11"/>
  <c r="L473" i="11" s="1"/>
  <c r="A474" i="11"/>
  <c r="J474" i="11"/>
  <c r="L474" i="11" s="1"/>
  <c r="A475" i="11"/>
  <c r="J475" i="11"/>
  <c r="L475" i="11" s="1"/>
  <c r="A476" i="11"/>
  <c r="J476" i="11"/>
  <c r="L476" i="11" s="1"/>
  <c r="A477" i="11"/>
  <c r="J477" i="11"/>
  <c r="L477" i="11" s="1"/>
  <c r="A478" i="11"/>
  <c r="J478" i="11"/>
  <c r="L478" i="11" s="1"/>
  <c r="A479" i="11"/>
  <c r="J479" i="11"/>
  <c r="L479" i="11" s="1"/>
  <c r="A480" i="11"/>
  <c r="J480" i="11"/>
  <c r="L480" i="11" s="1"/>
  <c r="A481" i="11"/>
  <c r="J481" i="11"/>
  <c r="L481" i="11" s="1"/>
  <c r="A482" i="11"/>
  <c r="J482" i="11"/>
  <c r="L482" i="11" s="1"/>
  <c r="A483" i="11"/>
  <c r="J483" i="11"/>
  <c r="L483" i="11" s="1"/>
  <c r="A484" i="11"/>
  <c r="J484" i="11"/>
  <c r="L484" i="11" s="1"/>
  <c r="A485" i="11"/>
  <c r="J485" i="11"/>
  <c r="L485" i="11" s="1"/>
  <c r="A486" i="11"/>
  <c r="J486" i="11"/>
  <c r="L486" i="11" s="1"/>
  <c r="A487" i="11"/>
  <c r="J487" i="11"/>
  <c r="L487" i="11" s="1"/>
  <c r="A488" i="11"/>
  <c r="J488" i="11"/>
  <c r="L488" i="11" s="1"/>
  <c r="A489" i="11"/>
  <c r="J489" i="11"/>
  <c r="L489" i="11" s="1"/>
  <c r="A490" i="11"/>
  <c r="J490" i="11"/>
  <c r="L490" i="11" s="1"/>
  <c r="A491" i="11"/>
  <c r="J491" i="11"/>
  <c r="L491" i="11" s="1"/>
  <c r="A492" i="11"/>
  <c r="J492" i="11"/>
  <c r="L492" i="11" s="1"/>
  <c r="A493" i="11"/>
  <c r="J493" i="11"/>
  <c r="L493" i="11" s="1"/>
  <c r="A494" i="11"/>
  <c r="J494" i="11"/>
  <c r="L494" i="11" s="1"/>
  <c r="A495" i="11"/>
  <c r="J495" i="11"/>
  <c r="L495" i="11" s="1"/>
  <c r="A496" i="11"/>
  <c r="J496" i="11"/>
  <c r="L496" i="11" s="1"/>
  <c r="A497" i="11"/>
  <c r="J497" i="11"/>
  <c r="L497" i="11" s="1"/>
  <c r="A498" i="11"/>
  <c r="J498" i="11"/>
  <c r="L498" i="11" s="1"/>
  <c r="A499" i="11"/>
  <c r="J499" i="11"/>
  <c r="L499" i="11" s="1"/>
  <c r="A500" i="11"/>
  <c r="J500" i="11"/>
  <c r="L500" i="11" s="1"/>
  <c r="A501" i="11"/>
  <c r="J501" i="11"/>
  <c r="L501" i="11" s="1"/>
  <c r="A502" i="11"/>
  <c r="J502" i="11"/>
  <c r="L502" i="11" s="1"/>
  <c r="A503" i="11"/>
  <c r="J503" i="11"/>
  <c r="L503" i="11" s="1"/>
  <c r="A504" i="11"/>
  <c r="J504" i="11"/>
  <c r="L504" i="11" s="1"/>
  <c r="A505" i="11"/>
  <c r="J505" i="11"/>
  <c r="L505" i="11" s="1"/>
  <c r="A506" i="11"/>
  <c r="J506" i="11"/>
  <c r="L506" i="11" s="1"/>
  <c r="A507" i="11"/>
  <c r="J507" i="11"/>
  <c r="L507" i="11" s="1"/>
  <c r="A508" i="11"/>
  <c r="J508" i="11"/>
  <c r="L508" i="11" s="1"/>
  <c r="A509" i="11"/>
  <c r="J509" i="11"/>
  <c r="L509" i="11" s="1"/>
  <c r="A510" i="11"/>
  <c r="J510" i="11"/>
  <c r="L510" i="11" s="1"/>
  <c r="A511" i="11"/>
  <c r="J511" i="11"/>
  <c r="L511" i="11" s="1"/>
  <c r="A512" i="11"/>
  <c r="J512" i="11"/>
  <c r="L512" i="11" s="1"/>
  <c r="A513" i="11"/>
  <c r="J513" i="11"/>
  <c r="L513" i="11" s="1"/>
  <c r="A514" i="11"/>
  <c r="J514" i="11"/>
  <c r="L514" i="11" s="1"/>
  <c r="A515" i="11"/>
  <c r="J515" i="11"/>
  <c r="L515" i="11" s="1"/>
  <c r="A516" i="11"/>
  <c r="J516" i="11"/>
  <c r="L516" i="11" s="1"/>
  <c r="A517" i="11"/>
  <c r="J517" i="11"/>
  <c r="L517" i="11" s="1"/>
  <c r="A518" i="11"/>
  <c r="J518" i="11"/>
  <c r="L518" i="11" s="1"/>
  <c r="A519" i="11"/>
  <c r="J519" i="11"/>
  <c r="L519" i="11" s="1"/>
  <c r="A520" i="11"/>
  <c r="J520" i="11"/>
  <c r="L520" i="11" s="1"/>
  <c r="A521" i="11"/>
  <c r="J521" i="11"/>
  <c r="L521" i="11" s="1"/>
  <c r="A522" i="11"/>
  <c r="J522" i="11"/>
  <c r="L522" i="11" s="1"/>
  <c r="A523" i="11"/>
  <c r="J523" i="11"/>
  <c r="L523" i="11" s="1"/>
  <c r="A524" i="11"/>
  <c r="J524" i="11"/>
  <c r="L524" i="11" s="1"/>
  <c r="A525" i="11"/>
  <c r="J525" i="11"/>
  <c r="L525" i="11" s="1"/>
  <c r="A526" i="11"/>
  <c r="J526" i="11"/>
  <c r="L526" i="11" s="1"/>
  <c r="A527" i="11"/>
  <c r="J527" i="11"/>
  <c r="L527" i="11" s="1"/>
  <c r="A528" i="11"/>
  <c r="J528" i="11"/>
  <c r="L528" i="11" s="1"/>
  <c r="A529" i="11"/>
  <c r="J529" i="11"/>
  <c r="L529" i="11" s="1"/>
  <c r="A530" i="11"/>
  <c r="J530" i="11"/>
  <c r="L530" i="11" s="1"/>
  <c r="A531" i="11"/>
  <c r="J531" i="11"/>
  <c r="L531" i="11" s="1"/>
  <c r="A532" i="11"/>
  <c r="J532" i="11"/>
  <c r="L532" i="11" s="1"/>
  <c r="A533" i="11"/>
  <c r="J533" i="11"/>
  <c r="L533" i="11" s="1"/>
  <c r="A534" i="11"/>
  <c r="J534" i="11"/>
  <c r="L534" i="11" s="1"/>
  <c r="A535" i="11"/>
  <c r="J535" i="11"/>
  <c r="L535" i="11" s="1"/>
  <c r="A536" i="11"/>
  <c r="J536" i="11"/>
  <c r="L536" i="11" s="1"/>
  <c r="A537" i="11"/>
  <c r="J537" i="11"/>
  <c r="L537" i="11" s="1"/>
  <c r="A538" i="11"/>
  <c r="J538" i="11"/>
  <c r="L538" i="11" s="1"/>
  <c r="A539" i="11"/>
  <c r="J539" i="11"/>
  <c r="L539" i="11" s="1"/>
  <c r="A540" i="11"/>
  <c r="J540" i="11"/>
  <c r="L540" i="11" s="1"/>
  <c r="A541" i="11"/>
  <c r="J541" i="11"/>
  <c r="L541" i="11" s="1"/>
  <c r="A542" i="11"/>
  <c r="J542" i="11"/>
  <c r="L542" i="11" s="1"/>
  <c r="A543" i="11"/>
  <c r="J543" i="11"/>
  <c r="L543" i="11" s="1"/>
  <c r="A544" i="11"/>
  <c r="J544" i="11"/>
  <c r="L544" i="11" s="1"/>
  <c r="A545" i="11"/>
  <c r="J545" i="11"/>
  <c r="L545" i="11" s="1"/>
  <c r="A546" i="11"/>
  <c r="J546" i="11"/>
  <c r="L546" i="11" s="1"/>
  <c r="A547" i="11"/>
  <c r="J547" i="11"/>
  <c r="L547" i="11" s="1"/>
  <c r="A548" i="11"/>
  <c r="J548" i="11"/>
  <c r="L548" i="11" s="1"/>
  <c r="A549" i="11"/>
  <c r="J549" i="11"/>
  <c r="L549" i="11" s="1"/>
  <c r="A550" i="11"/>
  <c r="J550" i="11"/>
  <c r="L550" i="11" s="1"/>
  <c r="A551" i="11"/>
  <c r="J551" i="11"/>
  <c r="L551" i="11" s="1"/>
  <c r="A552" i="11"/>
  <c r="J552" i="11"/>
  <c r="L552" i="11" s="1"/>
  <c r="A553" i="11"/>
  <c r="J553" i="11"/>
  <c r="L553" i="11" s="1"/>
  <c r="A554" i="11"/>
  <c r="J554" i="11"/>
  <c r="L554" i="11" s="1"/>
  <c r="A555" i="11"/>
  <c r="J555" i="11"/>
  <c r="L555" i="11" s="1"/>
  <c r="A556" i="11"/>
  <c r="J556" i="11"/>
  <c r="L556" i="11" s="1"/>
  <c r="A557" i="11"/>
  <c r="J557" i="11"/>
  <c r="L557" i="11" s="1"/>
  <c r="A558" i="11"/>
  <c r="J558" i="11"/>
  <c r="L558" i="11" s="1"/>
  <c r="A559" i="11"/>
  <c r="J559" i="11"/>
  <c r="L559" i="11" s="1"/>
  <c r="A560" i="11"/>
  <c r="J560" i="11"/>
  <c r="L560" i="11" s="1"/>
  <c r="A561" i="11"/>
  <c r="J561" i="11"/>
  <c r="L561" i="11" s="1"/>
  <c r="A562" i="11"/>
  <c r="J562" i="11"/>
  <c r="L562" i="11" s="1"/>
  <c r="A563" i="11"/>
  <c r="J563" i="11"/>
  <c r="L563" i="11" s="1"/>
  <c r="A564" i="11"/>
  <c r="J564" i="11"/>
  <c r="L564" i="11" s="1"/>
  <c r="A565" i="11"/>
  <c r="J565" i="11"/>
  <c r="L565" i="11" s="1"/>
  <c r="A566" i="11"/>
  <c r="J566" i="11"/>
  <c r="L566" i="11" s="1"/>
  <c r="A567" i="11"/>
  <c r="J567" i="11"/>
  <c r="L567" i="11" s="1"/>
  <c r="A568" i="11"/>
  <c r="J568" i="11"/>
  <c r="L568" i="11" s="1"/>
  <c r="A569" i="11"/>
  <c r="J569" i="11"/>
  <c r="L569" i="11" s="1"/>
  <c r="A570" i="11"/>
  <c r="J570" i="11"/>
  <c r="L570" i="11" s="1"/>
  <c r="A571" i="11"/>
  <c r="J571" i="11"/>
  <c r="L571" i="11" s="1"/>
  <c r="A572" i="11"/>
  <c r="J572" i="11"/>
  <c r="L572" i="11" s="1"/>
  <c r="A573" i="11"/>
  <c r="J573" i="11"/>
  <c r="L573" i="11" s="1"/>
  <c r="A574" i="11"/>
  <c r="J574" i="11"/>
  <c r="L574" i="11" s="1"/>
  <c r="A575" i="11"/>
  <c r="J575" i="11"/>
  <c r="L575" i="11" s="1"/>
  <c r="A576" i="11"/>
  <c r="J576" i="11"/>
  <c r="L576" i="11" s="1"/>
  <c r="A577" i="11"/>
  <c r="J577" i="11"/>
  <c r="L577" i="11" s="1"/>
  <c r="A578" i="11"/>
  <c r="J578" i="11"/>
  <c r="L578" i="11" s="1"/>
  <c r="A579" i="11"/>
  <c r="J579" i="11"/>
  <c r="L579" i="11" s="1"/>
  <c r="A580" i="11"/>
  <c r="J580" i="11"/>
  <c r="L580" i="11" s="1"/>
  <c r="A581" i="11"/>
  <c r="J581" i="11"/>
  <c r="L581" i="11" s="1"/>
  <c r="A582" i="11"/>
  <c r="J582" i="11"/>
  <c r="L582" i="11" s="1"/>
  <c r="A583" i="11"/>
  <c r="J583" i="11"/>
  <c r="L583" i="11" s="1"/>
  <c r="A584" i="11"/>
  <c r="J584" i="11"/>
  <c r="L584" i="11" s="1"/>
  <c r="A585" i="11"/>
  <c r="J585" i="11"/>
  <c r="L585" i="11" s="1"/>
  <c r="A586" i="11"/>
  <c r="J586" i="11"/>
  <c r="L586" i="11" s="1"/>
  <c r="A587" i="11"/>
  <c r="J587" i="11"/>
  <c r="L587" i="11" s="1"/>
  <c r="A588" i="11"/>
  <c r="J588" i="11"/>
  <c r="L588" i="11" s="1"/>
  <c r="A589" i="11"/>
  <c r="J589" i="11"/>
  <c r="L589" i="11" s="1"/>
  <c r="A590" i="11"/>
  <c r="J590" i="11"/>
  <c r="L590" i="11" s="1"/>
  <c r="A591" i="11"/>
  <c r="J591" i="11"/>
  <c r="L591" i="11" s="1"/>
  <c r="A592" i="11"/>
  <c r="J592" i="11"/>
  <c r="L592" i="11" s="1"/>
  <c r="A593" i="11"/>
  <c r="J593" i="11"/>
  <c r="L593" i="11" s="1"/>
  <c r="A594" i="11"/>
  <c r="J594" i="11"/>
  <c r="L594" i="11" s="1"/>
  <c r="A595" i="11"/>
  <c r="J595" i="11"/>
  <c r="L595" i="11" s="1"/>
  <c r="A596" i="11"/>
  <c r="J596" i="11"/>
  <c r="L596" i="11" s="1"/>
  <c r="A597" i="11"/>
  <c r="J597" i="11"/>
  <c r="L597" i="11" s="1"/>
  <c r="A598" i="11"/>
  <c r="J598" i="11"/>
  <c r="L598" i="11" s="1"/>
  <c r="A599" i="11"/>
  <c r="J599" i="11"/>
  <c r="L599" i="11" s="1"/>
  <c r="A600" i="11"/>
  <c r="J600" i="11"/>
  <c r="L600" i="11" s="1"/>
  <c r="A601" i="11"/>
  <c r="J601" i="11"/>
  <c r="L601" i="11" s="1"/>
  <c r="A602" i="11"/>
  <c r="J602" i="11"/>
  <c r="L602" i="11" s="1"/>
  <c r="A603" i="11"/>
  <c r="J603" i="11"/>
  <c r="L603" i="11" s="1"/>
  <c r="A604" i="11"/>
  <c r="J604" i="11"/>
  <c r="L604" i="11" s="1"/>
  <c r="A605" i="11"/>
  <c r="J605" i="11"/>
  <c r="L605" i="11" s="1"/>
  <c r="A606" i="11"/>
  <c r="J606" i="11"/>
  <c r="L606" i="11" s="1"/>
  <c r="A607" i="11"/>
  <c r="J607" i="11"/>
  <c r="L607" i="11" s="1"/>
  <c r="A608" i="11"/>
  <c r="J608" i="11"/>
  <c r="L608" i="11" s="1"/>
  <c r="A609" i="11"/>
  <c r="J609" i="11"/>
  <c r="L609" i="11" s="1"/>
  <c r="A610" i="11"/>
  <c r="J610" i="11"/>
  <c r="L610" i="11" s="1"/>
  <c r="A611" i="11"/>
  <c r="J611" i="11"/>
  <c r="L611" i="11" s="1"/>
  <c r="A612" i="11"/>
  <c r="J612" i="11"/>
  <c r="L612" i="11" s="1"/>
  <c r="A613" i="11"/>
  <c r="J613" i="11"/>
  <c r="L613" i="11" s="1"/>
  <c r="A614" i="11"/>
  <c r="J614" i="11"/>
  <c r="L614" i="11" s="1"/>
  <c r="A615" i="11"/>
  <c r="J615" i="11"/>
  <c r="L615" i="11" s="1"/>
  <c r="A616" i="11"/>
  <c r="J616" i="11"/>
  <c r="L616" i="11" s="1"/>
  <c r="A617" i="11"/>
  <c r="J617" i="11"/>
  <c r="L617" i="11" s="1"/>
  <c r="A618" i="11"/>
  <c r="J618" i="11"/>
  <c r="L618" i="11" s="1"/>
  <c r="A619" i="11"/>
  <c r="J619" i="11"/>
  <c r="L619" i="11" s="1"/>
  <c r="A620" i="11"/>
  <c r="J620" i="11"/>
  <c r="L620" i="11" s="1"/>
  <c r="A621" i="11"/>
  <c r="J621" i="11"/>
  <c r="L621" i="11" s="1"/>
  <c r="A622" i="11"/>
  <c r="J622" i="11"/>
  <c r="L622" i="11" s="1"/>
  <c r="A623" i="11"/>
  <c r="J623" i="11"/>
  <c r="L623" i="11" s="1"/>
  <c r="A624" i="11"/>
  <c r="J624" i="11"/>
  <c r="L624" i="11" s="1"/>
  <c r="A625" i="11"/>
  <c r="J625" i="11"/>
  <c r="L625" i="11" s="1"/>
  <c r="A626" i="11"/>
  <c r="J626" i="11"/>
  <c r="L626" i="11" s="1"/>
  <c r="A627" i="11"/>
  <c r="J627" i="11"/>
  <c r="L627" i="11" s="1"/>
  <c r="A628" i="11"/>
  <c r="J628" i="11"/>
  <c r="L628" i="11" s="1"/>
  <c r="A629" i="11"/>
  <c r="J629" i="11"/>
  <c r="L629" i="11" s="1"/>
  <c r="A630" i="11"/>
  <c r="J630" i="11"/>
  <c r="L630" i="11" s="1"/>
  <c r="A631" i="11"/>
  <c r="J631" i="11"/>
  <c r="L631" i="11" s="1"/>
  <c r="A632" i="11"/>
  <c r="J632" i="11"/>
  <c r="L632" i="11" s="1"/>
  <c r="A633" i="11"/>
  <c r="J633" i="11"/>
  <c r="L633" i="11" s="1"/>
  <c r="A634" i="11"/>
  <c r="J634" i="11"/>
  <c r="L634" i="11" s="1"/>
  <c r="A635" i="11"/>
  <c r="J635" i="11"/>
  <c r="L635" i="11" s="1"/>
  <c r="A636" i="11"/>
  <c r="J636" i="11"/>
  <c r="L636" i="11" s="1"/>
  <c r="A637" i="11"/>
  <c r="J637" i="11"/>
  <c r="L637" i="11" s="1"/>
  <c r="A638" i="11"/>
  <c r="J638" i="11"/>
  <c r="L638" i="11" s="1"/>
  <c r="A639" i="11"/>
  <c r="J639" i="11"/>
  <c r="L639" i="11" s="1"/>
  <c r="A640" i="11"/>
  <c r="J640" i="11"/>
  <c r="L640" i="11" s="1"/>
  <c r="A641" i="11"/>
  <c r="J641" i="11"/>
  <c r="L641" i="11" s="1"/>
  <c r="A642" i="11"/>
  <c r="J642" i="11"/>
  <c r="L642" i="11" s="1"/>
  <c r="A643" i="11"/>
  <c r="J643" i="11"/>
  <c r="L643" i="11" s="1"/>
  <c r="A644" i="11"/>
  <c r="J644" i="11"/>
  <c r="L644" i="11" s="1"/>
  <c r="A645" i="11"/>
  <c r="J645" i="11"/>
  <c r="L645" i="11" s="1"/>
  <c r="A646" i="11"/>
  <c r="J646" i="11"/>
  <c r="L646" i="11" s="1"/>
  <c r="A647" i="11"/>
  <c r="J647" i="11"/>
  <c r="L647" i="11" s="1"/>
  <c r="A648" i="11"/>
  <c r="J648" i="11"/>
  <c r="L648" i="11" s="1"/>
  <c r="A649" i="11"/>
  <c r="J649" i="11"/>
  <c r="L649" i="11" s="1"/>
  <c r="A650" i="11"/>
  <c r="J650" i="11"/>
  <c r="L650" i="11" s="1"/>
  <c r="A651" i="11"/>
  <c r="J651" i="11"/>
  <c r="L651" i="11" s="1"/>
  <c r="A652" i="11"/>
  <c r="J652" i="11"/>
  <c r="L652" i="11" s="1"/>
  <c r="A653" i="11"/>
  <c r="J653" i="11"/>
  <c r="L653" i="11" s="1"/>
  <c r="A654" i="11"/>
  <c r="J654" i="11"/>
  <c r="L654" i="11" s="1"/>
  <c r="A655" i="11"/>
  <c r="J655" i="11"/>
  <c r="L655" i="11" s="1"/>
  <c r="A656" i="11"/>
  <c r="J656" i="11"/>
  <c r="L656" i="11" s="1"/>
  <c r="A657" i="11"/>
  <c r="J657" i="11"/>
  <c r="L657" i="11" s="1"/>
  <c r="A658" i="11"/>
  <c r="J658" i="11"/>
  <c r="L658" i="11" s="1"/>
  <c r="A659" i="11"/>
  <c r="J659" i="11"/>
  <c r="L659" i="11" s="1"/>
  <c r="A660" i="11"/>
  <c r="J660" i="11"/>
  <c r="L660" i="11" s="1"/>
  <c r="A661" i="11"/>
  <c r="J661" i="11"/>
  <c r="L661" i="11" s="1"/>
  <c r="A662" i="11"/>
  <c r="J662" i="11"/>
  <c r="L662" i="11" s="1"/>
  <c r="A663" i="11"/>
  <c r="J663" i="11"/>
  <c r="L663" i="11" s="1"/>
  <c r="A664" i="11"/>
  <c r="J664" i="11"/>
  <c r="L664" i="11" s="1"/>
  <c r="A665" i="11"/>
  <c r="J665" i="11"/>
  <c r="L665" i="11" s="1"/>
  <c r="A666" i="11"/>
  <c r="J666" i="11"/>
  <c r="L666" i="11" s="1"/>
  <c r="A667" i="11"/>
  <c r="J667" i="11"/>
  <c r="L667" i="11" s="1"/>
  <c r="A668" i="11"/>
  <c r="J668" i="11"/>
  <c r="L668" i="11" s="1"/>
  <c r="A669" i="11"/>
  <c r="J669" i="11"/>
  <c r="L669" i="11" s="1"/>
  <c r="A670" i="11"/>
  <c r="J670" i="11"/>
  <c r="L670" i="11" s="1"/>
  <c r="A671" i="11"/>
  <c r="J671" i="11"/>
  <c r="L671" i="11" s="1"/>
  <c r="A672" i="11"/>
  <c r="J672" i="11"/>
  <c r="L672" i="11" s="1"/>
  <c r="A673" i="11"/>
  <c r="J673" i="11"/>
  <c r="L673" i="11" s="1"/>
  <c r="A674" i="11"/>
  <c r="J674" i="11"/>
  <c r="L674" i="11" s="1"/>
  <c r="A675" i="11"/>
  <c r="J675" i="11"/>
  <c r="L675" i="11" s="1"/>
  <c r="A676" i="11"/>
  <c r="J676" i="11"/>
  <c r="L676" i="11" s="1"/>
  <c r="A677" i="11"/>
  <c r="J677" i="11"/>
  <c r="L677" i="11" s="1"/>
  <c r="A678" i="11"/>
  <c r="J678" i="11"/>
  <c r="L678" i="11" s="1"/>
  <c r="A679" i="11"/>
  <c r="J679" i="11"/>
  <c r="L679" i="11" s="1"/>
  <c r="A680" i="11"/>
  <c r="J680" i="11"/>
  <c r="L680" i="11" s="1"/>
  <c r="A681" i="11"/>
  <c r="J681" i="11"/>
  <c r="L681" i="11" s="1"/>
  <c r="A682" i="11"/>
  <c r="J682" i="11"/>
  <c r="L682" i="11" s="1"/>
  <c r="A683" i="11"/>
  <c r="J683" i="11"/>
  <c r="L683" i="11" s="1"/>
  <c r="A684" i="11"/>
  <c r="J684" i="11"/>
  <c r="L684" i="11" s="1"/>
  <c r="A685" i="11"/>
  <c r="J685" i="11"/>
  <c r="L685" i="11" s="1"/>
  <c r="A686" i="11"/>
  <c r="J686" i="11"/>
  <c r="L686" i="11" s="1"/>
  <c r="A687" i="11"/>
  <c r="J687" i="11"/>
  <c r="L687" i="11" s="1"/>
  <c r="A688" i="11"/>
  <c r="J688" i="11"/>
  <c r="L688" i="11" s="1"/>
  <c r="A689" i="11"/>
  <c r="J689" i="11"/>
  <c r="L689" i="11" s="1"/>
  <c r="A690" i="11"/>
  <c r="J690" i="11"/>
  <c r="L690" i="11" s="1"/>
  <c r="A691" i="11"/>
  <c r="J691" i="11"/>
  <c r="L691" i="11" s="1"/>
  <c r="A692" i="11"/>
  <c r="J692" i="11"/>
  <c r="L692" i="11" s="1"/>
  <c r="A693" i="11"/>
  <c r="J693" i="11"/>
  <c r="L693" i="11" s="1"/>
  <c r="A694" i="11"/>
  <c r="J694" i="11"/>
  <c r="L694" i="11" s="1"/>
  <c r="A695" i="11"/>
  <c r="J695" i="11"/>
  <c r="L695" i="11" s="1"/>
  <c r="A696" i="11"/>
  <c r="J696" i="11"/>
  <c r="L696" i="11" s="1"/>
  <c r="A697" i="11"/>
  <c r="J697" i="11"/>
  <c r="L697" i="11" s="1"/>
  <c r="A698" i="11"/>
  <c r="J698" i="11"/>
  <c r="L698" i="11" s="1"/>
  <c r="A699" i="11"/>
  <c r="J699" i="11"/>
  <c r="L699" i="11" s="1"/>
  <c r="A700" i="11"/>
  <c r="J700" i="11"/>
  <c r="L700" i="11" s="1"/>
  <c r="A701" i="11"/>
  <c r="J701" i="11"/>
  <c r="L701" i="11" s="1"/>
  <c r="A702" i="11"/>
  <c r="J702" i="11"/>
  <c r="L702" i="11" s="1"/>
  <c r="A703" i="11"/>
  <c r="J703" i="11"/>
  <c r="L703" i="11" s="1"/>
  <c r="A704" i="11"/>
  <c r="J704" i="11"/>
  <c r="L704" i="11" s="1"/>
  <c r="A705" i="11"/>
  <c r="J705" i="11"/>
  <c r="L705" i="11" s="1"/>
  <c r="A706" i="11"/>
  <c r="J706" i="11"/>
  <c r="L706" i="11" s="1"/>
  <c r="A707" i="11"/>
  <c r="J707" i="11"/>
  <c r="L707" i="11" s="1"/>
  <c r="A708" i="11"/>
  <c r="J708" i="11"/>
  <c r="L708" i="11" s="1"/>
  <c r="A709" i="11"/>
  <c r="J709" i="11"/>
  <c r="L709" i="11" s="1"/>
  <c r="A710" i="11"/>
  <c r="J710" i="11"/>
  <c r="L710" i="11" s="1"/>
  <c r="A711" i="11"/>
  <c r="J711" i="11"/>
  <c r="L711" i="11" s="1"/>
  <c r="A712" i="11"/>
  <c r="J712" i="11"/>
  <c r="L712" i="11" s="1"/>
  <c r="A713" i="11"/>
  <c r="J713" i="11"/>
  <c r="L713" i="11" s="1"/>
  <c r="A714" i="11"/>
  <c r="J714" i="11"/>
  <c r="L714" i="11" s="1"/>
  <c r="A715" i="11"/>
  <c r="J715" i="11"/>
  <c r="L715" i="11" s="1"/>
  <c r="A716" i="11"/>
  <c r="J716" i="11"/>
  <c r="L716" i="11" s="1"/>
  <c r="A717" i="11"/>
  <c r="J717" i="11"/>
  <c r="L717" i="11" s="1"/>
  <c r="A718" i="11"/>
  <c r="J718" i="11"/>
  <c r="L718" i="11" s="1"/>
  <c r="A719" i="11"/>
  <c r="J719" i="11"/>
  <c r="L719" i="11" s="1"/>
  <c r="A720" i="11"/>
  <c r="J720" i="11"/>
  <c r="L720" i="11" s="1"/>
  <c r="A721" i="11"/>
  <c r="J721" i="11"/>
  <c r="L721" i="11" s="1"/>
  <c r="A722" i="11"/>
  <c r="J722" i="11"/>
  <c r="L722" i="11" s="1"/>
  <c r="A723" i="11"/>
  <c r="J723" i="11"/>
  <c r="L723" i="11" s="1"/>
  <c r="A724" i="11"/>
  <c r="J724" i="11"/>
  <c r="L724" i="11" s="1"/>
  <c r="A725" i="11"/>
  <c r="J725" i="11"/>
  <c r="L725" i="11" s="1"/>
  <c r="A726" i="11"/>
  <c r="J726" i="11"/>
  <c r="L726" i="11" s="1"/>
  <c r="A727" i="11"/>
  <c r="J727" i="11"/>
  <c r="L727" i="11" s="1"/>
  <c r="A728" i="11"/>
  <c r="J728" i="11"/>
  <c r="L728" i="11" s="1"/>
  <c r="A729" i="11"/>
  <c r="J729" i="11"/>
  <c r="L729" i="11" s="1"/>
  <c r="A730" i="11"/>
  <c r="J730" i="11"/>
  <c r="L730" i="11" s="1"/>
  <c r="A731" i="11"/>
  <c r="J731" i="11"/>
  <c r="L731" i="11" s="1"/>
  <c r="A732" i="11"/>
  <c r="J732" i="11"/>
  <c r="L732" i="11" s="1"/>
  <c r="A733" i="11"/>
  <c r="J733" i="11"/>
  <c r="L733" i="11" s="1"/>
  <c r="A734" i="11"/>
  <c r="J734" i="11"/>
  <c r="L734" i="11" s="1"/>
  <c r="A735" i="11"/>
  <c r="J735" i="11"/>
  <c r="L735" i="11" s="1"/>
  <c r="A736" i="11"/>
  <c r="J736" i="11"/>
  <c r="L736" i="11" s="1"/>
  <c r="A737" i="11"/>
  <c r="J737" i="11"/>
  <c r="L737" i="11" s="1"/>
  <c r="A738" i="11"/>
  <c r="J738" i="11"/>
  <c r="L738" i="11" s="1"/>
  <c r="A739" i="11"/>
  <c r="J739" i="11"/>
  <c r="L739" i="11" s="1"/>
  <c r="A740" i="11"/>
  <c r="J740" i="11"/>
  <c r="L740" i="11" s="1"/>
  <c r="A741" i="11"/>
  <c r="J741" i="11"/>
  <c r="L741" i="11" s="1"/>
  <c r="A742" i="11"/>
  <c r="J742" i="11"/>
  <c r="L742" i="11" s="1"/>
  <c r="A743" i="11"/>
  <c r="J743" i="11"/>
  <c r="L743" i="11" s="1"/>
  <c r="A744" i="11"/>
  <c r="J744" i="11"/>
  <c r="L744" i="11" s="1"/>
  <c r="A745" i="11"/>
  <c r="J745" i="11"/>
  <c r="L745" i="11" s="1"/>
  <c r="A746" i="11"/>
  <c r="J746" i="11"/>
  <c r="L746" i="11" s="1"/>
  <c r="A747" i="11"/>
  <c r="J747" i="11"/>
  <c r="L747" i="11" s="1"/>
  <c r="A748" i="11"/>
  <c r="J748" i="11"/>
  <c r="L748" i="11" s="1"/>
  <c r="A749" i="11"/>
  <c r="J749" i="11"/>
  <c r="L749" i="11" s="1"/>
  <c r="A750" i="11"/>
  <c r="J750" i="11"/>
  <c r="L750" i="11" s="1"/>
  <c r="A751" i="11"/>
  <c r="J751" i="11"/>
  <c r="L751" i="11" s="1"/>
  <c r="A752" i="11"/>
  <c r="J752" i="11"/>
  <c r="L752" i="11" s="1"/>
  <c r="A753" i="11"/>
  <c r="J753" i="11"/>
  <c r="L753" i="11" s="1"/>
  <c r="A754" i="11"/>
  <c r="J754" i="11"/>
  <c r="L754" i="11" s="1"/>
  <c r="A755" i="11"/>
  <c r="J755" i="11"/>
  <c r="L755" i="11" s="1"/>
  <c r="A756" i="11"/>
  <c r="J756" i="11"/>
  <c r="L756" i="11" s="1"/>
  <c r="A757" i="11"/>
  <c r="J757" i="11"/>
  <c r="L757" i="11" s="1"/>
  <c r="A758" i="11"/>
  <c r="J758" i="11"/>
  <c r="L758" i="11" s="1"/>
  <c r="A759" i="11"/>
  <c r="J759" i="11"/>
  <c r="L759" i="11" s="1"/>
  <c r="A760" i="11"/>
  <c r="J760" i="11"/>
  <c r="L760" i="11" s="1"/>
  <c r="A761" i="11"/>
  <c r="J761" i="11"/>
  <c r="L761" i="11" s="1"/>
  <c r="A762" i="11"/>
  <c r="J762" i="11"/>
  <c r="L762" i="11" s="1"/>
  <c r="A763" i="11"/>
  <c r="J763" i="11"/>
  <c r="L763" i="11" s="1"/>
  <c r="A764" i="11"/>
  <c r="J764" i="11"/>
  <c r="L764" i="11" s="1"/>
  <c r="A765" i="11"/>
  <c r="J765" i="11"/>
  <c r="L765" i="11" s="1"/>
  <c r="A766" i="11"/>
  <c r="J766" i="11"/>
  <c r="L766" i="11" s="1"/>
  <c r="A767" i="11"/>
  <c r="J767" i="11"/>
  <c r="L767" i="11" s="1"/>
  <c r="A768" i="11"/>
  <c r="J768" i="11"/>
  <c r="L768" i="11" s="1"/>
  <c r="A769" i="11"/>
  <c r="J769" i="11"/>
  <c r="L769" i="11" s="1"/>
  <c r="A770" i="11"/>
  <c r="J770" i="11"/>
  <c r="L770" i="11" s="1"/>
  <c r="A771" i="11"/>
  <c r="J771" i="11"/>
  <c r="L771" i="11" s="1"/>
  <c r="A772" i="11"/>
  <c r="J772" i="11"/>
  <c r="L772" i="11" s="1"/>
  <c r="A773" i="11"/>
  <c r="J773" i="11"/>
  <c r="L773" i="11" s="1"/>
  <c r="A774" i="11"/>
  <c r="J774" i="11"/>
  <c r="L774" i="11" s="1"/>
  <c r="A775" i="11"/>
  <c r="J775" i="11"/>
  <c r="L775" i="11" s="1"/>
  <c r="A776" i="11"/>
  <c r="J776" i="11"/>
  <c r="L776" i="11" s="1"/>
  <c r="A777" i="11"/>
  <c r="J777" i="11"/>
  <c r="L777" i="11" s="1"/>
  <c r="A778" i="11"/>
  <c r="J778" i="11"/>
  <c r="L778" i="11" s="1"/>
  <c r="A779" i="11"/>
  <c r="J779" i="11"/>
  <c r="L779" i="11" s="1"/>
  <c r="A780" i="11"/>
  <c r="J780" i="11"/>
  <c r="L780" i="11" s="1"/>
  <c r="A781" i="11"/>
  <c r="J781" i="11"/>
  <c r="L781" i="11" s="1"/>
  <c r="A782" i="11"/>
  <c r="J782" i="11"/>
  <c r="L782" i="11" s="1"/>
  <c r="A783" i="11"/>
  <c r="J783" i="11"/>
  <c r="L783" i="11" s="1"/>
  <c r="A784" i="11"/>
  <c r="J784" i="11"/>
  <c r="L784" i="11" s="1"/>
  <c r="A785" i="11"/>
  <c r="J785" i="11"/>
  <c r="L785" i="11" s="1"/>
  <c r="A786" i="11"/>
  <c r="J786" i="11"/>
  <c r="L786" i="11" s="1"/>
  <c r="A787" i="11"/>
  <c r="J787" i="11"/>
  <c r="L787" i="11" s="1"/>
  <c r="A788" i="11"/>
  <c r="J788" i="11"/>
  <c r="L788" i="11" s="1"/>
  <c r="A789" i="11"/>
  <c r="J789" i="11"/>
  <c r="L789" i="11" s="1"/>
  <c r="A790" i="11"/>
  <c r="J790" i="11"/>
  <c r="L790" i="11" s="1"/>
  <c r="A791" i="11"/>
  <c r="J791" i="11"/>
  <c r="L791" i="11" s="1"/>
  <c r="A792" i="11"/>
  <c r="J792" i="11"/>
  <c r="L792" i="11" s="1"/>
  <c r="A793" i="11"/>
  <c r="J793" i="11"/>
  <c r="L793" i="11" s="1"/>
  <c r="A794" i="11"/>
  <c r="J794" i="11"/>
  <c r="L794" i="11" s="1"/>
  <c r="A795" i="11"/>
  <c r="J795" i="11"/>
  <c r="L795" i="11" s="1"/>
  <c r="A796" i="11"/>
  <c r="J796" i="11"/>
  <c r="L796" i="11" s="1"/>
  <c r="A797" i="11"/>
  <c r="J797" i="11"/>
  <c r="L797" i="11" s="1"/>
  <c r="A798" i="11"/>
  <c r="J798" i="11"/>
  <c r="L798" i="11" s="1"/>
  <c r="A799" i="11"/>
  <c r="J799" i="11"/>
  <c r="L799" i="11" s="1"/>
  <c r="A800" i="11"/>
  <c r="J800" i="11"/>
  <c r="L800" i="11" s="1"/>
  <c r="A801" i="11"/>
  <c r="J801" i="11"/>
  <c r="L801" i="11" s="1"/>
  <c r="A802" i="11"/>
  <c r="J802" i="11"/>
  <c r="L802" i="11" s="1"/>
  <c r="A803" i="11"/>
  <c r="J803" i="11"/>
  <c r="L803" i="11" s="1"/>
  <c r="A804" i="11"/>
  <c r="J804" i="11"/>
  <c r="L804" i="11" s="1"/>
  <c r="A805" i="11"/>
  <c r="J805" i="11"/>
  <c r="L805" i="11" s="1"/>
  <c r="A806" i="11"/>
  <c r="J806" i="11"/>
  <c r="L806" i="11" s="1"/>
  <c r="A807" i="11"/>
  <c r="J807" i="11"/>
  <c r="L807" i="11" s="1"/>
  <c r="A808" i="11"/>
  <c r="J808" i="11"/>
  <c r="L808" i="11" s="1"/>
  <c r="A809" i="11"/>
  <c r="J809" i="11"/>
  <c r="L809" i="11" s="1"/>
  <c r="A810" i="11"/>
  <c r="J810" i="11"/>
  <c r="L810" i="11" s="1"/>
  <c r="A811" i="11"/>
  <c r="J811" i="11"/>
  <c r="L811" i="11" s="1"/>
  <c r="A812" i="11"/>
  <c r="J812" i="11"/>
  <c r="L812" i="11" s="1"/>
  <c r="A813" i="11"/>
  <c r="J813" i="11"/>
  <c r="L813" i="11" s="1"/>
  <c r="A814" i="11"/>
  <c r="J814" i="11"/>
  <c r="L814" i="11" s="1"/>
  <c r="A815" i="11"/>
  <c r="J815" i="11"/>
  <c r="L815" i="11" s="1"/>
  <c r="A816" i="11"/>
  <c r="J816" i="11"/>
  <c r="L816" i="11" s="1"/>
  <c r="A817" i="11"/>
  <c r="J817" i="11"/>
  <c r="L817" i="11" s="1"/>
  <c r="A818" i="11"/>
  <c r="J818" i="11"/>
  <c r="L818" i="11" s="1"/>
  <c r="A819" i="11"/>
  <c r="J819" i="11"/>
  <c r="L819" i="11" s="1"/>
  <c r="A820" i="11"/>
  <c r="J820" i="11"/>
  <c r="L820" i="11" s="1"/>
  <c r="A821" i="11"/>
  <c r="J821" i="11"/>
  <c r="L821" i="11" s="1"/>
  <c r="A822" i="11"/>
  <c r="J822" i="11"/>
  <c r="L822" i="11" s="1"/>
  <c r="A823" i="11"/>
  <c r="J823" i="11"/>
  <c r="L823" i="11" s="1"/>
  <c r="A824" i="11"/>
  <c r="J824" i="11"/>
  <c r="L824" i="11" s="1"/>
  <c r="A825" i="11"/>
  <c r="J825" i="11"/>
  <c r="L825" i="11" s="1"/>
  <c r="A826" i="11"/>
  <c r="J826" i="11"/>
  <c r="L826" i="11" s="1"/>
  <c r="A827" i="11"/>
  <c r="J827" i="11"/>
  <c r="L827" i="11" s="1"/>
  <c r="A828" i="11"/>
  <c r="J828" i="11"/>
  <c r="L828" i="11" s="1"/>
  <c r="A829" i="11"/>
  <c r="J829" i="11"/>
  <c r="L829" i="11" s="1"/>
  <c r="A830" i="11"/>
  <c r="J830" i="11"/>
  <c r="L830" i="11" s="1"/>
  <c r="A831" i="11"/>
  <c r="J831" i="11"/>
  <c r="L831" i="11" s="1"/>
  <c r="A832" i="11"/>
  <c r="J832" i="11"/>
  <c r="L832" i="11" s="1"/>
  <c r="A833" i="11"/>
  <c r="J833" i="11"/>
  <c r="L833" i="11" s="1"/>
  <c r="A834" i="11"/>
  <c r="J834" i="11"/>
  <c r="L834" i="11" s="1"/>
  <c r="A835" i="11"/>
  <c r="J835" i="11"/>
  <c r="L835" i="11" s="1"/>
  <c r="A836" i="11"/>
  <c r="J836" i="11"/>
  <c r="L836" i="11" s="1"/>
  <c r="A837" i="11"/>
  <c r="J837" i="11"/>
  <c r="L837" i="11" s="1"/>
  <c r="A838" i="11"/>
  <c r="J838" i="11"/>
  <c r="L838" i="11" s="1"/>
  <c r="A839" i="11"/>
  <c r="J839" i="11"/>
  <c r="L839" i="11" s="1"/>
  <c r="A840" i="11"/>
  <c r="J840" i="11"/>
  <c r="L840" i="11" s="1"/>
  <c r="A841" i="11"/>
  <c r="J841" i="11"/>
  <c r="L841" i="11" s="1"/>
  <c r="A842" i="11"/>
  <c r="J842" i="11"/>
  <c r="L842" i="11" s="1"/>
  <c r="A843" i="11"/>
  <c r="J843" i="11"/>
  <c r="L843" i="11" s="1"/>
  <c r="A844" i="11"/>
  <c r="J844" i="11"/>
  <c r="L844" i="11" s="1"/>
  <c r="A845" i="11"/>
  <c r="J845" i="11"/>
  <c r="L845" i="11" s="1"/>
  <c r="A846" i="11"/>
  <c r="J846" i="11"/>
  <c r="L846" i="11" s="1"/>
  <c r="A847" i="11"/>
  <c r="J847" i="11"/>
  <c r="L847" i="11" s="1"/>
  <c r="A848" i="11"/>
  <c r="J848" i="11"/>
  <c r="L848" i="11" s="1"/>
  <c r="A849" i="11"/>
  <c r="J849" i="11"/>
  <c r="L849" i="11" s="1"/>
  <c r="A850" i="11"/>
  <c r="J850" i="11"/>
  <c r="L850" i="11" s="1"/>
  <c r="A851" i="11"/>
  <c r="J851" i="11"/>
  <c r="L851" i="11" s="1"/>
  <c r="A852" i="11"/>
  <c r="J852" i="11"/>
  <c r="L852" i="11" s="1"/>
  <c r="A853" i="11"/>
  <c r="J853" i="11"/>
  <c r="L853" i="11" s="1"/>
  <c r="A854" i="11"/>
  <c r="J854" i="11"/>
  <c r="L854" i="11" s="1"/>
  <c r="A855" i="11"/>
  <c r="J855" i="11"/>
  <c r="L855" i="11" s="1"/>
  <c r="A856" i="11"/>
  <c r="J856" i="11"/>
  <c r="L856" i="11" s="1"/>
  <c r="A857" i="11"/>
  <c r="J857" i="11"/>
  <c r="L857" i="11" s="1"/>
  <c r="A858" i="11"/>
  <c r="J858" i="11"/>
  <c r="L858" i="11" s="1"/>
  <c r="A859" i="11"/>
  <c r="J859" i="11"/>
  <c r="L859" i="11" s="1"/>
  <c r="A860" i="11"/>
  <c r="J860" i="11"/>
  <c r="L860" i="11" s="1"/>
  <c r="A861" i="11"/>
  <c r="J861" i="11"/>
  <c r="L861" i="11" s="1"/>
  <c r="A862" i="11"/>
  <c r="J862" i="11"/>
  <c r="L862" i="11" s="1"/>
  <c r="A863" i="11"/>
  <c r="J863" i="11"/>
  <c r="L863" i="11" s="1"/>
  <c r="A864" i="11"/>
  <c r="J864" i="11"/>
  <c r="L864" i="11" s="1"/>
  <c r="A865" i="11"/>
  <c r="J865" i="11"/>
  <c r="L865" i="11" s="1"/>
  <c r="A866" i="11"/>
  <c r="J866" i="11"/>
  <c r="L866" i="11" s="1"/>
  <c r="A867" i="11"/>
  <c r="J867" i="11"/>
  <c r="L867" i="11" s="1"/>
  <c r="A868" i="11"/>
  <c r="J868" i="11"/>
  <c r="L868" i="11" s="1"/>
  <c r="A869" i="11"/>
  <c r="J869" i="11"/>
  <c r="L869" i="11" s="1"/>
  <c r="A870" i="11"/>
  <c r="J870" i="11"/>
  <c r="L870" i="11" s="1"/>
  <c r="A871" i="11"/>
  <c r="J871" i="11"/>
  <c r="L871" i="11" s="1"/>
  <c r="A872" i="11"/>
  <c r="J872" i="11"/>
  <c r="L872" i="11" s="1"/>
  <c r="A873" i="11"/>
  <c r="J873" i="11"/>
  <c r="L873" i="11" s="1"/>
  <c r="A874" i="11"/>
  <c r="J874" i="11"/>
  <c r="L874" i="11" s="1"/>
  <c r="A875" i="11"/>
  <c r="J875" i="11"/>
  <c r="L875" i="11" s="1"/>
  <c r="A876" i="11"/>
  <c r="J876" i="11"/>
  <c r="L876" i="11" s="1"/>
  <c r="A877" i="11"/>
  <c r="J877" i="11"/>
  <c r="L877" i="11" s="1"/>
  <c r="A878" i="11"/>
  <c r="J878" i="11"/>
  <c r="L878" i="11" s="1"/>
  <c r="A879" i="11"/>
  <c r="J879" i="11"/>
  <c r="L879" i="11" s="1"/>
  <c r="A880" i="11"/>
  <c r="J880" i="11"/>
  <c r="L880" i="11" s="1"/>
  <c r="A881" i="11"/>
  <c r="J881" i="11"/>
  <c r="L881" i="11" s="1"/>
  <c r="A882" i="11"/>
  <c r="J882" i="11"/>
  <c r="L882" i="11" s="1"/>
  <c r="A883" i="11"/>
  <c r="J883" i="11"/>
  <c r="L883" i="11" s="1"/>
  <c r="A884" i="11"/>
  <c r="J884" i="11"/>
  <c r="L884" i="11" s="1"/>
  <c r="A885" i="11"/>
  <c r="J885" i="11"/>
  <c r="L885" i="11" s="1"/>
  <c r="A886" i="11"/>
  <c r="J886" i="11"/>
  <c r="L886" i="11" s="1"/>
  <c r="A887" i="11"/>
  <c r="J887" i="11"/>
  <c r="L887" i="11" s="1"/>
  <c r="A888" i="11"/>
  <c r="J888" i="11"/>
  <c r="L888" i="11" s="1"/>
  <c r="A889" i="11"/>
  <c r="J889" i="11"/>
  <c r="L889" i="11" s="1"/>
  <c r="A890" i="11"/>
  <c r="J890" i="11"/>
  <c r="L890" i="11" s="1"/>
  <c r="A891" i="11"/>
  <c r="J891" i="11"/>
  <c r="L891" i="11" s="1"/>
  <c r="A892" i="11"/>
  <c r="J892" i="11"/>
  <c r="L892" i="11" s="1"/>
  <c r="A893" i="11"/>
  <c r="J893" i="11"/>
  <c r="L893" i="11" s="1"/>
  <c r="A894" i="11"/>
  <c r="J894" i="11"/>
  <c r="L894" i="11" s="1"/>
  <c r="A895" i="11"/>
  <c r="J895" i="11"/>
  <c r="L895" i="11" s="1"/>
  <c r="A896" i="11"/>
  <c r="J896" i="11"/>
  <c r="L896" i="11" s="1"/>
  <c r="A897" i="11"/>
  <c r="J897" i="11"/>
  <c r="L897" i="11" s="1"/>
  <c r="A898" i="11"/>
  <c r="J898" i="11"/>
  <c r="L898" i="11" s="1"/>
  <c r="A899" i="11"/>
  <c r="J899" i="11"/>
  <c r="L899" i="11" s="1"/>
  <c r="A900" i="11"/>
  <c r="J900" i="11"/>
  <c r="L900" i="11" s="1"/>
  <c r="A901" i="11"/>
  <c r="J901" i="11"/>
  <c r="L901" i="11" s="1"/>
  <c r="A902" i="11"/>
  <c r="J902" i="11"/>
  <c r="L902" i="11" s="1"/>
  <c r="A903" i="11"/>
  <c r="J903" i="11"/>
  <c r="L903" i="11" s="1"/>
  <c r="A904" i="11"/>
  <c r="J904" i="11"/>
  <c r="L904" i="11" s="1"/>
  <c r="A905" i="11"/>
  <c r="J905" i="11"/>
  <c r="L905" i="11" s="1"/>
  <c r="A906" i="11"/>
  <c r="J906" i="11"/>
  <c r="L906" i="11" s="1"/>
  <c r="A907" i="11"/>
  <c r="J907" i="11"/>
  <c r="L907" i="11" s="1"/>
  <c r="A908" i="11"/>
  <c r="J908" i="11"/>
  <c r="L908" i="11" s="1"/>
  <c r="A909" i="11"/>
  <c r="J909" i="11"/>
  <c r="L909" i="11" s="1"/>
  <c r="A910" i="11"/>
  <c r="J910" i="11"/>
  <c r="L910" i="11" s="1"/>
  <c r="A911" i="11"/>
  <c r="J911" i="11"/>
  <c r="L911" i="11" s="1"/>
  <c r="A912" i="11"/>
  <c r="J912" i="11"/>
  <c r="L912" i="11" s="1"/>
  <c r="A913" i="11"/>
  <c r="J913" i="11"/>
  <c r="L913" i="11" s="1"/>
  <c r="A914" i="11"/>
  <c r="J914" i="11"/>
  <c r="L914" i="11" s="1"/>
  <c r="A915" i="11"/>
  <c r="J915" i="11"/>
  <c r="L915" i="11" s="1"/>
  <c r="A916" i="11"/>
  <c r="J916" i="11"/>
  <c r="L916" i="11" s="1"/>
  <c r="A917" i="11"/>
  <c r="J917" i="11"/>
  <c r="L917" i="11" s="1"/>
  <c r="A918" i="11"/>
  <c r="J918" i="11"/>
  <c r="L918" i="11" s="1"/>
  <c r="A919" i="11"/>
  <c r="J919" i="11"/>
  <c r="L919" i="11" s="1"/>
  <c r="A920" i="11"/>
  <c r="J920" i="11"/>
  <c r="L920" i="11" s="1"/>
  <c r="A921" i="11"/>
  <c r="J921" i="11"/>
  <c r="L921" i="11" s="1"/>
  <c r="A922" i="11"/>
  <c r="J922" i="11"/>
  <c r="L922" i="11" s="1"/>
  <c r="A923" i="11"/>
  <c r="J923" i="11"/>
  <c r="L923" i="11" s="1"/>
  <c r="A924" i="11"/>
  <c r="J924" i="11"/>
  <c r="L924" i="11" s="1"/>
  <c r="A925" i="11"/>
  <c r="J925" i="11"/>
  <c r="L925" i="11" s="1"/>
  <c r="A926" i="11"/>
  <c r="J926" i="11"/>
  <c r="L926" i="11" s="1"/>
  <c r="A927" i="11"/>
  <c r="J927" i="11"/>
  <c r="L927" i="11" s="1"/>
  <c r="A928" i="11"/>
  <c r="J928" i="11"/>
  <c r="L928" i="11" s="1"/>
  <c r="A929" i="11"/>
  <c r="J929" i="11"/>
  <c r="L929" i="11" s="1"/>
  <c r="A930" i="11"/>
  <c r="J930" i="11"/>
  <c r="L930" i="11" s="1"/>
  <c r="A931" i="11"/>
  <c r="J931" i="11"/>
  <c r="L931" i="11" s="1"/>
  <c r="A932" i="11"/>
  <c r="J932" i="11"/>
  <c r="L932" i="11" s="1"/>
  <c r="A933" i="11"/>
  <c r="J933" i="11"/>
  <c r="L933" i="11" s="1"/>
  <c r="A934" i="11"/>
  <c r="J934" i="11"/>
  <c r="L934" i="11" s="1"/>
  <c r="A935" i="11"/>
  <c r="J935" i="11"/>
  <c r="L935" i="11" s="1"/>
  <c r="A936" i="11"/>
  <c r="J936" i="11"/>
  <c r="L936" i="11" s="1"/>
  <c r="A937" i="11"/>
  <c r="J937" i="11"/>
  <c r="L937" i="11" s="1"/>
  <c r="A938" i="11"/>
  <c r="J938" i="11"/>
  <c r="L938" i="11" s="1"/>
  <c r="A939" i="11"/>
  <c r="J939" i="11"/>
  <c r="L939" i="11" s="1"/>
  <c r="A940" i="11"/>
  <c r="J940" i="11"/>
  <c r="L940" i="11" s="1"/>
  <c r="A941" i="11"/>
  <c r="J941" i="11"/>
  <c r="L941" i="11" s="1"/>
  <c r="A942" i="11"/>
  <c r="J942" i="11"/>
  <c r="L942" i="11" s="1"/>
  <c r="A943" i="11"/>
  <c r="J943" i="11"/>
  <c r="L943" i="11" s="1"/>
  <c r="A944" i="11"/>
  <c r="J944" i="11"/>
  <c r="L944" i="11" s="1"/>
  <c r="A945" i="11"/>
  <c r="J945" i="11"/>
  <c r="L945" i="11" s="1"/>
  <c r="A946" i="11"/>
  <c r="J946" i="11"/>
  <c r="L946" i="11" s="1"/>
  <c r="A947" i="11"/>
  <c r="J947" i="11"/>
  <c r="L947" i="11" s="1"/>
  <c r="A948" i="11"/>
  <c r="J948" i="11"/>
  <c r="L948" i="11" s="1"/>
  <c r="A949" i="11"/>
  <c r="J949" i="11"/>
  <c r="L949" i="11" s="1"/>
  <c r="A950" i="11"/>
  <c r="J950" i="11"/>
  <c r="L950" i="11" s="1"/>
  <c r="A951" i="11"/>
  <c r="J951" i="11"/>
  <c r="L951" i="11" s="1"/>
  <c r="A952" i="11"/>
  <c r="J952" i="11"/>
  <c r="L952" i="11" s="1"/>
  <c r="A953" i="11"/>
  <c r="J953" i="11"/>
  <c r="L953" i="11" s="1"/>
  <c r="A954" i="11"/>
  <c r="J954" i="11"/>
  <c r="L954" i="11" s="1"/>
  <c r="A955" i="11"/>
  <c r="J955" i="11"/>
  <c r="L955" i="11" s="1"/>
  <c r="A956" i="11"/>
  <c r="J956" i="11"/>
  <c r="L956" i="11" s="1"/>
  <c r="A957" i="11"/>
  <c r="J957" i="11"/>
  <c r="L957" i="11" s="1"/>
  <c r="A958" i="11"/>
  <c r="J958" i="11"/>
  <c r="L958" i="11" s="1"/>
  <c r="A959" i="11"/>
  <c r="J959" i="11"/>
  <c r="L959" i="11" s="1"/>
  <c r="A960" i="11"/>
  <c r="J960" i="11"/>
  <c r="L960" i="11" s="1"/>
  <c r="A961" i="11"/>
  <c r="J961" i="11"/>
  <c r="L961" i="11" s="1"/>
  <c r="A962" i="11"/>
  <c r="J962" i="11"/>
  <c r="L962" i="11" s="1"/>
  <c r="A963" i="11"/>
  <c r="J963" i="11"/>
  <c r="L963" i="11" s="1"/>
  <c r="A964" i="11"/>
  <c r="J964" i="11"/>
  <c r="L964" i="11" s="1"/>
  <c r="A965" i="11"/>
  <c r="J965" i="11"/>
  <c r="L965" i="11" s="1"/>
  <c r="A966" i="11"/>
  <c r="J966" i="11"/>
  <c r="L966" i="11" s="1"/>
  <c r="A967" i="11"/>
  <c r="J967" i="11"/>
  <c r="L967" i="11" s="1"/>
  <c r="A968" i="11"/>
  <c r="J968" i="11"/>
  <c r="L968" i="11" s="1"/>
  <c r="A969" i="11"/>
  <c r="J969" i="11"/>
  <c r="L969" i="11" s="1"/>
  <c r="A970" i="11"/>
  <c r="J970" i="11"/>
  <c r="L970" i="11" s="1"/>
  <c r="A971" i="11"/>
  <c r="J971" i="11"/>
  <c r="L971" i="11" s="1"/>
  <c r="A972" i="11"/>
  <c r="J972" i="11"/>
  <c r="L972" i="11" s="1"/>
  <c r="A973" i="11"/>
  <c r="J973" i="11"/>
  <c r="L973" i="11" s="1"/>
  <c r="A974" i="11"/>
  <c r="J974" i="11"/>
  <c r="L974" i="11" s="1"/>
  <c r="A975" i="11"/>
  <c r="J975" i="11"/>
  <c r="L975" i="11" s="1"/>
  <c r="A976" i="11"/>
  <c r="J976" i="11"/>
  <c r="L976" i="11" s="1"/>
  <c r="A977" i="11"/>
  <c r="J977" i="11"/>
  <c r="L977" i="11" s="1"/>
  <c r="A978" i="11"/>
  <c r="J978" i="11"/>
  <c r="L978" i="11" s="1"/>
  <c r="A979" i="11"/>
  <c r="J979" i="11"/>
  <c r="L979" i="11" s="1"/>
  <c r="A980" i="11"/>
  <c r="J980" i="11"/>
  <c r="L980" i="11" s="1"/>
  <c r="A981" i="11"/>
  <c r="J981" i="11"/>
  <c r="L981" i="11" s="1"/>
  <c r="A982" i="11"/>
  <c r="J982" i="11"/>
  <c r="L982" i="11" s="1"/>
  <c r="A983" i="11"/>
  <c r="J983" i="11"/>
  <c r="L983" i="11" s="1"/>
  <c r="A984" i="11"/>
  <c r="J984" i="11"/>
  <c r="L984" i="11" s="1"/>
  <c r="A985" i="11"/>
  <c r="J985" i="11"/>
  <c r="L985" i="11" s="1"/>
  <c r="A986" i="11"/>
  <c r="J986" i="11"/>
  <c r="L986" i="11" s="1"/>
  <c r="A987" i="11"/>
  <c r="J987" i="11"/>
  <c r="L987" i="11" s="1"/>
  <c r="A988" i="11"/>
  <c r="J988" i="11"/>
  <c r="L988" i="11" s="1"/>
  <c r="A989" i="11"/>
  <c r="J989" i="11"/>
  <c r="L989" i="11" s="1"/>
  <c r="A990" i="11"/>
  <c r="J990" i="11"/>
  <c r="L990" i="11" s="1"/>
  <c r="A991" i="11"/>
  <c r="J991" i="11"/>
  <c r="L991" i="11" s="1"/>
  <c r="A992" i="11"/>
  <c r="J992" i="11"/>
  <c r="L992" i="11" s="1"/>
  <c r="A993" i="11"/>
  <c r="J993" i="11"/>
  <c r="L993" i="11" s="1"/>
  <c r="A994" i="11"/>
  <c r="J994" i="11"/>
  <c r="L994" i="11" s="1"/>
  <c r="A995" i="11"/>
  <c r="J995" i="11"/>
  <c r="L995" i="11" s="1"/>
  <c r="A996" i="11"/>
  <c r="J996" i="11"/>
  <c r="L996" i="11" s="1"/>
  <c r="A997" i="11"/>
  <c r="J997" i="11"/>
  <c r="L997" i="11" s="1"/>
  <c r="A998" i="11"/>
  <c r="J998" i="11"/>
  <c r="L998" i="11" s="1"/>
  <c r="A999" i="11"/>
  <c r="J999" i="11"/>
  <c r="L999" i="11" s="1"/>
  <c r="A1000" i="11"/>
  <c r="J1000" i="11"/>
  <c r="L1000" i="11" s="1"/>
  <c r="A1001" i="11"/>
  <c r="J1001" i="11"/>
  <c r="L1001" i="11" s="1"/>
  <c r="A1002" i="11"/>
  <c r="J1002" i="11"/>
  <c r="L1002" i="11" s="1"/>
  <c r="A1003" i="11"/>
  <c r="J1003" i="11"/>
  <c r="L1003" i="11" s="1"/>
  <c r="A1004" i="11"/>
  <c r="J1004" i="11"/>
  <c r="L1004" i="11" s="1"/>
  <c r="A1005" i="11"/>
  <c r="J1005" i="11"/>
  <c r="L1005" i="11" s="1"/>
  <c r="A1006" i="11"/>
  <c r="J1006" i="11"/>
  <c r="L1006" i="11" s="1"/>
  <c r="A1007" i="11"/>
  <c r="J1007" i="11"/>
  <c r="L1007" i="11" s="1"/>
  <c r="A1008" i="11"/>
  <c r="J1008" i="11"/>
  <c r="L1008" i="11" s="1"/>
  <c r="A1009" i="11"/>
  <c r="J1009" i="11"/>
  <c r="L1009" i="11" s="1"/>
  <c r="A1010" i="11"/>
  <c r="J1010" i="11"/>
  <c r="L1010" i="11" s="1"/>
  <c r="A1011" i="11"/>
  <c r="J1011" i="11"/>
  <c r="L1011" i="11" s="1"/>
  <c r="A1012" i="11"/>
  <c r="J1012" i="11"/>
  <c r="L1012" i="11" s="1"/>
  <c r="A1013" i="11"/>
  <c r="J1013" i="11"/>
  <c r="L1013" i="11" s="1"/>
  <c r="A1014" i="11"/>
  <c r="J1014" i="11"/>
  <c r="L1014" i="11" s="1"/>
  <c r="A1015" i="11"/>
  <c r="J1015" i="11"/>
  <c r="L1015" i="11" s="1"/>
  <c r="A1016" i="11"/>
  <c r="J1016" i="11"/>
  <c r="L1016" i="11" s="1"/>
  <c r="A1017" i="11"/>
  <c r="J1017" i="11"/>
  <c r="L1017" i="11" s="1"/>
  <c r="A1018" i="11"/>
  <c r="J1018" i="11"/>
  <c r="L1018" i="11" s="1"/>
  <c r="A1019" i="11"/>
  <c r="J1019" i="11"/>
  <c r="L1019" i="11" s="1"/>
  <c r="A1020" i="11"/>
  <c r="J1020" i="11"/>
  <c r="L1020" i="11" s="1"/>
  <c r="A1021" i="11"/>
  <c r="J1021" i="11"/>
  <c r="L1021" i="11" s="1"/>
  <c r="A1022" i="11"/>
  <c r="J1022" i="11"/>
  <c r="L1022" i="11" s="1"/>
  <c r="A1023" i="11"/>
  <c r="J1023" i="11"/>
  <c r="L1023" i="11" s="1"/>
  <c r="A1024" i="11"/>
  <c r="J1024" i="11"/>
  <c r="L1024" i="11" s="1"/>
  <c r="A1025" i="11"/>
  <c r="J1025" i="11"/>
  <c r="L1025" i="11" s="1"/>
  <c r="A1026" i="11"/>
  <c r="J1026" i="11"/>
  <c r="L1026" i="11" s="1"/>
  <c r="A1027" i="11"/>
  <c r="J1027" i="11"/>
  <c r="L1027" i="11" s="1"/>
  <c r="A1028" i="11"/>
  <c r="J1028" i="11"/>
  <c r="L1028" i="11" s="1"/>
  <c r="A1029" i="11"/>
  <c r="J1029" i="11"/>
  <c r="L1029" i="11" s="1"/>
  <c r="A1030" i="11"/>
  <c r="J1030" i="11"/>
  <c r="L1030" i="11" s="1"/>
  <c r="A1031" i="11"/>
  <c r="J1031" i="11"/>
  <c r="L1031" i="11" s="1"/>
  <c r="A1032" i="11"/>
  <c r="J1032" i="11"/>
  <c r="L1032" i="11" s="1"/>
  <c r="A1033" i="11"/>
  <c r="J1033" i="11"/>
  <c r="L1033" i="11" s="1"/>
  <c r="A1034" i="11"/>
  <c r="J1034" i="11"/>
  <c r="L1034" i="11" s="1"/>
  <c r="A1035" i="11"/>
  <c r="J1035" i="11"/>
  <c r="L1035" i="11" s="1"/>
  <c r="A1036" i="11"/>
  <c r="J1036" i="11"/>
  <c r="L1036" i="11" s="1"/>
  <c r="A1037" i="11"/>
  <c r="J1037" i="11"/>
  <c r="L1037" i="11" s="1"/>
  <c r="A1038" i="11"/>
  <c r="J1038" i="11"/>
  <c r="L1038" i="11" s="1"/>
  <c r="A1039" i="11"/>
  <c r="J1039" i="11"/>
  <c r="L1039" i="11" s="1"/>
  <c r="A1040" i="11"/>
  <c r="J1040" i="11"/>
  <c r="L1040" i="11" s="1"/>
  <c r="A1041" i="11"/>
  <c r="J1041" i="11"/>
  <c r="L1041" i="11" s="1"/>
  <c r="A1042" i="11"/>
  <c r="J1042" i="11"/>
  <c r="L1042" i="11" s="1"/>
  <c r="A1043" i="11"/>
  <c r="J1043" i="11"/>
  <c r="L1043" i="11" s="1"/>
  <c r="A1044" i="11"/>
  <c r="J1044" i="11"/>
  <c r="L1044" i="11" s="1"/>
  <c r="A1045" i="11"/>
  <c r="J1045" i="11"/>
  <c r="L1045" i="11" s="1"/>
  <c r="A1046" i="11"/>
  <c r="J1046" i="11"/>
  <c r="L1046" i="11" s="1"/>
  <c r="A1047" i="11"/>
  <c r="J1047" i="11"/>
  <c r="L1047" i="11" s="1"/>
  <c r="A1048" i="11"/>
  <c r="J1048" i="11"/>
  <c r="L1048" i="11" s="1"/>
  <c r="A1049" i="11"/>
  <c r="J1049" i="11"/>
  <c r="L1049" i="11" s="1"/>
  <c r="A1050" i="11"/>
  <c r="J1050" i="11"/>
  <c r="L1050" i="11" s="1"/>
  <c r="A1051" i="11"/>
  <c r="J1051" i="11"/>
  <c r="L1051" i="11" s="1"/>
  <c r="A1052" i="11"/>
  <c r="J1052" i="11"/>
  <c r="L1052" i="11" s="1"/>
  <c r="A1053" i="11"/>
  <c r="J1053" i="11"/>
  <c r="L1053" i="11" s="1"/>
  <c r="A1054" i="11"/>
  <c r="J1054" i="11"/>
  <c r="L1054" i="11" s="1"/>
  <c r="A1055" i="11"/>
  <c r="J1055" i="11"/>
  <c r="L1055" i="11" s="1"/>
  <c r="A1056" i="11"/>
  <c r="J1056" i="11"/>
  <c r="L1056" i="11" s="1"/>
  <c r="A1057" i="11"/>
  <c r="J1057" i="11"/>
  <c r="L1057" i="11" s="1"/>
  <c r="A1058" i="11"/>
  <c r="J1058" i="11"/>
  <c r="L1058" i="11" s="1"/>
  <c r="A1059" i="11"/>
  <c r="J1059" i="11"/>
  <c r="L1059" i="11" s="1"/>
  <c r="A1060" i="11"/>
  <c r="J1060" i="11"/>
  <c r="L1060" i="11" s="1"/>
  <c r="A1061" i="11"/>
  <c r="J1061" i="11"/>
  <c r="L1061" i="11" s="1"/>
  <c r="A1062" i="11"/>
  <c r="J1062" i="11"/>
  <c r="L1062" i="11" s="1"/>
  <c r="A1063" i="11"/>
  <c r="J1063" i="11"/>
  <c r="L1063" i="11" s="1"/>
  <c r="A1064" i="11"/>
  <c r="J1064" i="11"/>
  <c r="L1064" i="11" s="1"/>
  <c r="A1065" i="11"/>
  <c r="J1065" i="11"/>
  <c r="L1065" i="11" s="1"/>
  <c r="A1066" i="11"/>
  <c r="J1066" i="11"/>
  <c r="L1066" i="11" s="1"/>
  <c r="A1067" i="11"/>
  <c r="J1067" i="11"/>
  <c r="L1067" i="11" s="1"/>
  <c r="A1068" i="11"/>
  <c r="J1068" i="11"/>
  <c r="L1068" i="11" s="1"/>
  <c r="A1069" i="11"/>
  <c r="J1069" i="11"/>
  <c r="L1069" i="11" s="1"/>
  <c r="A1070" i="11"/>
  <c r="J1070" i="11"/>
  <c r="L1070" i="11" s="1"/>
  <c r="A1071" i="11"/>
  <c r="J1071" i="11"/>
  <c r="L1071" i="11" s="1"/>
  <c r="A1072" i="11"/>
  <c r="J1072" i="11"/>
  <c r="L1072" i="11" s="1"/>
  <c r="A1073" i="11"/>
  <c r="J1073" i="11"/>
  <c r="L1073" i="11" s="1"/>
  <c r="A1074" i="11"/>
  <c r="J1074" i="11"/>
  <c r="L1074" i="11" s="1"/>
  <c r="A1075" i="11"/>
  <c r="J1075" i="11"/>
  <c r="L1075" i="11" s="1"/>
  <c r="A1076" i="11"/>
  <c r="J1076" i="11"/>
  <c r="L1076" i="11" s="1"/>
  <c r="A1077" i="11"/>
  <c r="J1077" i="11"/>
  <c r="L1077" i="11" s="1"/>
  <c r="A1078" i="11"/>
  <c r="J1078" i="11"/>
  <c r="L1078" i="11" s="1"/>
  <c r="A1079" i="11"/>
  <c r="J1079" i="11"/>
  <c r="L1079" i="11" s="1"/>
  <c r="A1080" i="11"/>
  <c r="J1080" i="11"/>
  <c r="L1080" i="11" s="1"/>
  <c r="A1081" i="11"/>
  <c r="J1081" i="11"/>
  <c r="L1081" i="11" s="1"/>
  <c r="A1082" i="11"/>
  <c r="J1082" i="11"/>
  <c r="L1082" i="11" s="1"/>
  <c r="A1083" i="11"/>
  <c r="J1083" i="11"/>
  <c r="L1083" i="11" s="1"/>
  <c r="A1084" i="11"/>
  <c r="J1084" i="11"/>
  <c r="L1084" i="11" s="1"/>
  <c r="A1085" i="11"/>
  <c r="J1085" i="11"/>
  <c r="L1085" i="11" s="1"/>
  <c r="A1086" i="11"/>
  <c r="J1086" i="11"/>
  <c r="L1086" i="11" s="1"/>
  <c r="A1087" i="11"/>
  <c r="J1087" i="11"/>
  <c r="L1087" i="11" s="1"/>
  <c r="A1088" i="11"/>
  <c r="J1088" i="11"/>
  <c r="L1088" i="11" s="1"/>
  <c r="A1089" i="11"/>
  <c r="J1089" i="11"/>
  <c r="L1089" i="11" s="1"/>
  <c r="A1090" i="11"/>
  <c r="J1090" i="11"/>
  <c r="L1090" i="11" s="1"/>
  <c r="A1091" i="11"/>
  <c r="J1091" i="11"/>
  <c r="L1091" i="11" s="1"/>
  <c r="A1092" i="11"/>
  <c r="J1092" i="11"/>
  <c r="L1092" i="11" s="1"/>
  <c r="A1093" i="11"/>
  <c r="J1093" i="11"/>
  <c r="L1093" i="11" s="1"/>
  <c r="A1094" i="11"/>
  <c r="J1094" i="11"/>
  <c r="L1094" i="11" s="1"/>
  <c r="A1095" i="11"/>
  <c r="J1095" i="11"/>
  <c r="L1095" i="11" s="1"/>
  <c r="A1096" i="11"/>
  <c r="J1096" i="11"/>
  <c r="L1096" i="11" s="1"/>
  <c r="A1097" i="11"/>
  <c r="J1097" i="11"/>
  <c r="L1097" i="11" s="1"/>
  <c r="A1098" i="11"/>
  <c r="J1098" i="11"/>
  <c r="L1098" i="11" s="1"/>
  <c r="A1099" i="11"/>
  <c r="J1099" i="11"/>
  <c r="L1099" i="11" s="1"/>
  <c r="A1100" i="11"/>
  <c r="J1100" i="11"/>
  <c r="L1100" i="11" s="1"/>
  <c r="A1101" i="11"/>
  <c r="J1101" i="11"/>
  <c r="L1101" i="11" s="1"/>
  <c r="A1102" i="11"/>
  <c r="J1102" i="11"/>
  <c r="L1102" i="11" s="1"/>
  <c r="A1103" i="11"/>
  <c r="J1103" i="11"/>
  <c r="L1103" i="11" s="1"/>
  <c r="A1104" i="11"/>
  <c r="J1104" i="11"/>
  <c r="L1104" i="11" s="1"/>
  <c r="A1105" i="11"/>
  <c r="J1105" i="11"/>
  <c r="L1105" i="11" s="1"/>
  <c r="A1106" i="11"/>
  <c r="J1106" i="11"/>
  <c r="L1106" i="11" s="1"/>
  <c r="A1107" i="11"/>
  <c r="J1107" i="11"/>
  <c r="L1107" i="11" s="1"/>
  <c r="A1108" i="11"/>
  <c r="J1108" i="11"/>
  <c r="L1108" i="11" s="1"/>
  <c r="A1109" i="11"/>
  <c r="J1109" i="11"/>
  <c r="L1109" i="11" s="1"/>
  <c r="A1110" i="11"/>
  <c r="J1110" i="11"/>
  <c r="L1110" i="11" s="1"/>
  <c r="A1111" i="11"/>
  <c r="J1111" i="11"/>
  <c r="L1111" i="11" s="1"/>
  <c r="A1112" i="11"/>
  <c r="J1112" i="11"/>
  <c r="L1112" i="11" s="1"/>
  <c r="A1113" i="11"/>
  <c r="J1113" i="11"/>
  <c r="L1113" i="11" s="1"/>
  <c r="A1114" i="11"/>
  <c r="J1114" i="11"/>
  <c r="L1114" i="11" s="1"/>
  <c r="A1115" i="11"/>
  <c r="J1115" i="11"/>
  <c r="L1115" i="11" s="1"/>
  <c r="A1116" i="11"/>
  <c r="J1116" i="11"/>
  <c r="L1116" i="11" s="1"/>
  <c r="A1117" i="11"/>
  <c r="J1117" i="11"/>
  <c r="L1117" i="11" s="1"/>
  <c r="A1118" i="11"/>
  <c r="J1118" i="11"/>
  <c r="L1118" i="11" s="1"/>
  <c r="A1119" i="11"/>
  <c r="J1119" i="11"/>
  <c r="L1119" i="11" s="1"/>
  <c r="A1120" i="11"/>
  <c r="J1120" i="11"/>
  <c r="L1120" i="11" s="1"/>
  <c r="A1121" i="11"/>
  <c r="J1121" i="11"/>
  <c r="L1121" i="11" s="1"/>
  <c r="A1122" i="11"/>
  <c r="J1122" i="11"/>
  <c r="L1122" i="11" s="1"/>
  <c r="A1123" i="11"/>
  <c r="J1123" i="11"/>
  <c r="L1123" i="11" s="1"/>
  <c r="A1124" i="11"/>
  <c r="J1124" i="11"/>
  <c r="L1124" i="11" s="1"/>
  <c r="A1125" i="11"/>
  <c r="J1125" i="11"/>
  <c r="L1125" i="11" s="1"/>
  <c r="A1126" i="11"/>
  <c r="J1126" i="11"/>
  <c r="L1126" i="11" s="1"/>
  <c r="A1127" i="11"/>
  <c r="J1127" i="11"/>
  <c r="L1127" i="11" s="1"/>
  <c r="A1128" i="11"/>
  <c r="J1128" i="11"/>
  <c r="L1128" i="11" s="1"/>
  <c r="A1129" i="11"/>
  <c r="J1129" i="11"/>
  <c r="L1129" i="11" s="1"/>
  <c r="A1130" i="11"/>
  <c r="J1130" i="11"/>
  <c r="L1130" i="11" s="1"/>
  <c r="A1131" i="11"/>
  <c r="J1131" i="11"/>
  <c r="L1131" i="11" s="1"/>
  <c r="A1132" i="11"/>
  <c r="J1132" i="11"/>
  <c r="L1132" i="11" s="1"/>
  <c r="A1133" i="11"/>
  <c r="J1133" i="11"/>
  <c r="L1133" i="11" s="1"/>
  <c r="A1134" i="11"/>
  <c r="J1134" i="11"/>
  <c r="L1134" i="11" s="1"/>
  <c r="A1135" i="11"/>
  <c r="J1135" i="11"/>
  <c r="L1135" i="11" s="1"/>
  <c r="A1136" i="11"/>
  <c r="J1136" i="11"/>
  <c r="L1136" i="11" s="1"/>
  <c r="A1137" i="11"/>
  <c r="J1137" i="11"/>
  <c r="L1137" i="11" s="1"/>
  <c r="A1138" i="11"/>
  <c r="J1138" i="11"/>
  <c r="L1138" i="11" s="1"/>
  <c r="A1139" i="11"/>
  <c r="J1139" i="11"/>
  <c r="L1139" i="11" s="1"/>
  <c r="A1140" i="11"/>
  <c r="J1140" i="11"/>
  <c r="L1140" i="11" s="1"/>
  <c r="A1141" i="11"/>
  <c r="J1141" i="11"/>
  <c r="L1141" i="11" s="1"/>
  <c r="A1142" i="11"/>
  <c r="J1142" i="11"/>
  <c r="L1142" i="11" s="1"/>
  <c r="A1143" i="11"/>
  <c r="J1143" i="11"/>
  <c r="L1143" i="11" s="1"/>
  <c r="A1144" i="11"/>
  <c r="J1144" i="11"/>
  <c r="L1144" i="11" s="1"/>
  <c r="A1145" i="11"/>
  <c r="J1145" i="11"/>
  <c r="L1145" i="11" s="1"/>
  <c r="A1146" i="11"/>
  <c r="J1146" i="11"/>
  <c r="L1146" i="11" s="1"/>
  <c r="A1147" i="11"/>
  <c r="J1147" i="11"/>
  <c r="L1147" i="11" s="1"/>
  <c r="A1148" i="11"/>
  <c r="J1148" i="11"/>
  <c r="L1148" i="11" s="1"/>
  <c r="A1149" i="11"/>
  <c r="J1149" i="11"/>
  <c r="L1149" i="11" s="1"/>
  <c r="A1150" i="11"/>
  <c r="J1150" i="11"/>
  <c r="L1150" i="11" s="1"/>
  <c r="A1151" i="11"/>
  <c r="J1151" i="11"/>
  <c r="L1151" i="11" s="1"/>
  <c r="A1152" i="11"/>
  <c r="J1152" i="11"/>
  <c r="L1152" i="11" s="1"/>
  <c r="A1153" i="11"/>
  <c r="J1153" i="11"/>
  <c r="L1153" i="11" s="1"/>
  <c r="A1154" i="11"/>
  <c r="J1154" i="11"/>
  <c r="L1154" i="11" s="1"/>
  <c r="A1155" i="11"/>
  <c r="J1155" i="11"/>
  <c r="L1155" i="11" s="1"/>
  <c r="A1156" i="11"/>
  <c r="J1156" i="11"/>
  <c r="L1156" i="11" s="1"/>
  <c r="A1157" i="11"/>
  <c r="J1157" i="11"/>
  <c r="L1157" i="11" s="1"/>
  <c r="A1158" i="11"/>
  <c r="J1158" i="11"/>
  <c r="L1158" i="11" s="1"/>
  <c r="A1159" i="11"/>
  <c r="J1159" i="11"/>
  <c r="L1159" i="11" s="1"/>
  <c r="A1160" i="11"/>
  <c r="J1160" i="11"/>
  <c r="L1160" i="11" s="1"/>
  <c r="A1161" i="11"/>
  <c r="J1161" i="11"/>
  <c r="L1161" i="11" s="1"/>
  <c r="A1162" i="11"/>
  <c r="J1162" i="11"/>
  <c r="L1162" i="11" s="1"/>
  <c r="A1163" i="11"/>
  <c r="J1163" i="11"/>
  <c r="L1163" i="11" s="1"/>
  <c r="A1164" i="11"/>
  <c r="J1164" i="11"/>
  <c r="L1164" i="11" s="1"/>
  <c r="A1165" i="11"/>
  <c r="J1165" i="11"/>
  <c r="L1165" i="11" s="1"/>
  <c r="A1166" i="11"/>
  <c r="J1166" i="11"/>
  <c r="L1166" i="11" s="1"/>
  <c r="A1167" i="11"/>
  <c r="J1167" i="11"/>
  <c r="L1167" i="11" s="1"/>
  <c r="A1168" i="11"/>
  <c r="J1168" i="11"/>
  <c r="L1168" i="11" s="1"/>
  <c r="A1169" i="11"/>
  <c r="J1169" i="11"/>
  <c r="L1169" i="11" s="1"/>
  <c r="A1170" i="11"/>
  <c r="J1170" i="11"/>
  <c r="L1170" i="11" s="1"/>
  <c r="A1171" i="11"/>
  <c r="J1171" i="11"/>
  <c r="L1171" i="11" s="1"/>
  <c r="A1172" i="11"/>
  <c r="J1172" i="11"/>
  <c r="L1172" i="11" s="1"/>
  <c r="A1173" i="11"/>
  <c r="J1173" i="11"/>
  <c r="L1173" i="11" s="1"/>
  <c r="A1174" i="11"/>
  <c r="J1174" i="11"/>
  <c r="L1174" i="11" s="1"/>
  <c r="A1175" i="11"/>
  <c r="J1175" i="11"/>
  <c r="L1175" i="11" s="1"/>
  <c r="A1176" i="11"/>
  <c r="J1176" i="11"/>
  <c r="L1176" i="11" s="1"/>
  <c r="A1177" i="11"/>
  <c r="J1177" i="11"/>
  <c r="L1177" i="11" s="1"/>
  <c r="A1178" i="11"/>
  <c r="J1178" i="11"/>
  <c r="L1178" i="11" s="1"/>
  <c r="A1179" i="11"/>
  <c r="J1179" i="11"/>
  <c r="L1179" i="11" s="1"/>
  <c r="A1180" i="11"/>
  <c r="J1180" i="11"/>
  <c r="L1180" i="11" s="1"/>
  <c r="A1181" i="11"/>
  <c r="J1181" i="11"/>
  <c r="L1181" i="11" s="1"/>
  <c r="A1182" i="11"/>
  <c r="J1182" i="11"/>
  <c r="L1182" i="11" s="1"/>
  <c r="A1183" i="11"/>
  <c r="J1183" i="11"/>
  <c r="L1183" i="11" s="1"/>
  <c r="A1184" i="11"/>
  <c r="J1184" i="11"/>
  <c r="L1184" i="11" s="1"/>
  <c r="A1185" i="11"/>
  <c r="J1185" i="11"/>
  <c r="L1185" i="11" s="1"/>
  <c r="A1186" i="11"/>
  <c r="J1186" i="11"/>
  <c r="L1186" i="11" s="1"/>
  <c r="A1187" i="11"/>
  <c r="J1187" i="11"/>
  <c r="L1187" i="11" s="1"/>
  <c r="A1188" i="11"/>
  <c r="J1188" i="11"/>
  <c r="L1188" i="11" s="1"/>
  <c r="A1189" i="11"/>
  <c r="J1189" i="11"/>
  <c r="L1189" i="11" s="1"/>
  <c r="A1190" i="11"/>
  <c r="J1190" i="11"/>
  <c r="L1190" i="11" s="1"/>
  <c r="A1191" i="11"/>
  <c r="J1191" i="11"/>
  <c r="L1191" i="11" s="1"/>
  <c r="A1192" i="11"/>
  <c r="J1192" i="11"/>
  <c r="L1192" i="11" s="1"/>
  <c r="A1193" i="11"/>
  <c r="J1193" i="11"/>
  <c r="L1193" i="11" s="1"/>
  <c r="A1194" i="11"/>
  <c r="J1194" i="11"/>
  <c r="L1194" i="11" s="1"/>
  <c r="A1195" i="11"/>
  <c r="J1195" i="11"/>
  <c r="L1195" i="11" s="1"/>
  <c r="A1196" i="11"/>
  <c r="J1196" i="11"/>
  <c r="L1196" i="11" s="1"/>
  <c r="A1197" i="11"/>
  <c r="J1197" i="11"/>
  <c r="L1197" i="11" s="1"/>
  <c r="A1198" i="11"/>
  <c r="J1198" i="11"/>
  <c r="L1198" i="11" s="1"/>
  <c r="A1199" i="11"/>
  <c r="J1199" i="11"/>
  <c r="L1199" i="11" s="1"/>
  <c r="A1200" i="11"/>
  <c r="J1200" i="11"/>
  <c r="L1200" i="11" s="1"/>
  <c r="A1201" i="11"/>
  <c r="J1201" i="11"/>
  <c r="L1201" i="11" s="1"/>
  <c r="A1202" i="11"/>
  <c r="J1202" i="11"/>
  <c r="L1202" i="11" s="1"/>
  <c r="A1203" i="11"/>
  <c r="J1203" i="11"/>
  <c r="L1203" i="11" s="1"/>
  <c r="A1204" i="11"/>
  <c r="J1204" i="11"/>
  <c r="L1204" i="11" s="1"/>
  <c r="A1205" i="11"/>
  <c r="J1205" i="11"/>
  <c r="L1205" i="11" s="1"/>
  <c r="A1206" i="11"/>
  <c r="J1206" i="11"/>
  <c r="L1206" i="11" s="1"/>
  <c r="A1207" i="11"/>
  <c r="J1207" i="11"/>
  <c r="L1207" i="11" s="1"/>
  <c r="A1208" i="11"/>
  <c r="J1208" i="11"/>
  <c r="L1208" i="11" s="1"/>
  <c r="A1209" i="11"/>
  <c r="J1209" i="11"/>
  <c r="L1209" i="11" s="1"/>
  <c r="A1210" i="11"/>
  <c r="J1210" i="11"/>
  <c r="L1210" i="11" s="1"/>
  <c r="A1211" i="11"/>
  <c r="J1211" i="11"/>
  <c r="L1211" i="11" s="1"/>
  <c r="A1212" i="11"/>
  <c r="J1212" i="11"/>
  <c r="L1212" i="11" s="1"/>
  <c r="A1213" i="11"/>
  <c r="J1213" i="11"/>
  <c r="L1213" i="11" s="1"/>
  <c r="A1214" i="11"/>
  <c r="J1214" i="11"/>
  <c r="L1214" i="11" s="1"/>
  <c r="A1215" i="11"/>
  <c r="J1215" i="11"/>
  <c r="L1215" i="11" s="1"/>
  <c r="A1216" i="11"/>
  <c r="J1216" i="11"/>
  <c r="L1216" i="11" s="1"/>
  <c r="A1217" i="11"/>
  <c r="J1217" i="11"/>
  <c r="L1217" i="11" s="1"/>
  <c r="A1218" i="11"/>
  <c r="J1218" i="11"/>
  <c r="L1218" i="11" s="1"/>
  <c r="A1219" i="11"/>
  <c r="J1219" i="11"/>
  <c r="L1219" i="11" s="1"/>
  <c r="A1220" i="11"/>
  <c r="J1220" i="11"/>
  <c r="L1220" i="11" s="1"/>
  <c r="A1221" i="11"/>
  <c r="J1221" i="11"/>
  <c r="L1221" i="11" s="1"/>
  <c r="A1222" i="11"/>
  <c r="J1222" i="11"/>
  <c r="L1222" i="11" s="1"/>
  <c r="A1223" i="11"/>
  <c r="J1223" i="11"/>
  <c r="L1223" i="11" s="1"/>
  <c r="A1224" i="11"/>
  <c r="J1224" i="11"/>
  <c r="L1224" i="11" s="1"/>
  <c r="A1225" i="11"/>
  <c r="J1225" i="11"/>
  <c r="L1225" i="11" s="1"/>
  <c r="A1226" i="11"/>
  <c r="J1226" i="11"/>
  <c r="L1226" i="11" s="1"/>
  <c r="A1227" i="11"/>
  <c r="J1227" i="11"/>
  <c r="L1227" i="11" s="1"/>
  <c r="A1228" i="11"/>
  <c r="J1228" i="11"/>
  <c r="L1228" i="11" s="1"/>
  <c r="A1229" i="11"/>
  <c r="J1229" i="11"/>
  <c r="L1229" i="11" s="1"/>
  <c r="A1230" i="11"/>
  <c r="J1230" i="11"/>
  <c r="L1230" i="11" s="1"/>
  <c r="A1231" i="11"/>
  <c r="J1231" i="11"/>
  <c r="L1231" i="11" s="1"/>
  <c r="A1232" i="11"/>
  <c r="J1232" i="11"/>
  <c r="L1232" i="11" s="1"/>
  <c r="A1233" i="11"/>
  <c r="J1233" i="11"/>
  <c r="L1233" i="11" s="1"/>
  <c r="A1234" i="11"/>
  <c r="J1234" i="11"/>
  <c r="L1234" i="11" s="1"/>
  <c r="A1235" i="11"/>
  <c r="J1235" i="11"/>
  <c r="L1235" i="11" s="1"/>
  <c r="A1236" i="11"/>
  <c r="J1236" i="11"/>
  <c r="L1236" i="11" s="1"/>
  <c r="A1237" i="11"/>
  <c r="J1237" i="11"/>
  <c r="L1237" i="11" s="1"/>
  <c r="A1238" i="11"/>
  <c r="J1238" i="11"/>
  <c r="L1238" i="11" s="1"/>
  <c r="A1239" i="11"/>
  <c r="J1239" i="11"/>
  <c r="L1239" i="11" s="1"/>
  <c r="A1240" i="11"/>
  <c r="J1240" i="11"/>
  <c r="L1240" i="11" s="1"/>
  <c r="A1241" i="11"/>
  <c r="J1241" i="11"/>
  <c r="L1241" i="11" s="1"/>
  <c r="A1242" i="11"/>
  <c r="J1242" i="11"/>
  <c r="L1242" i="11" s="1"/>
  <c r="A1243" i="11"/>
  <c r="J1243" i="11"/>
  <c r="L1243" i="11" s="1"/>
  <c r="A1244" i="11"/>
  <c r="J1244" i="11"/>
  <c r="L1244" i="11" s="1"/>
  <c r="A1245" i="11"/>
  <c r="J1245" i="11"/>
  <c r="L1245" i="11" s="1"/>
  <c r="A1246" i="11"/>
  <c r="J1246" i="11"/>
  <c r="L1246" i="11" s="1"/>
  <c r="A1247" i="11"/>
  <c r="J1247" i="11"/>
  <c r="L1247" i="11" s="1"/>
  <c r="A1248" i="11"/>
  <c r="J1248" i="11"/>
  <c r="L1248" i="11" s="1"/>
  <c r="A1249" i="11"/>
  <c r="J1249" i="11"/>
  <c r="L1249" i="11" s="1"/>
  <c r="A1250" i="11"/>
  <c r="J1250" i="11"/>
  <c r="L1250" i="11" s="1"/>
  <c r="A1251" i="11"/>
  <c r="J1251" i="11"/>
  <c r="L1251" i="11" s="1"/>
  <c r="A1252" i="11"/>
  <c r="J1252" i="11"/>
  <c r="L1252" i="11" s="1"/>
  <c r="A1253" i="11"/>
  <c r="J1253" i="11"/>
  <c r="L1253" i="11" s="1"/>
  <c r="A1254" i="11"/>
  <c r="J1254" i="11"/>
  <c r="L1254" i="11" s="1"/>
  <c r="A1255" i="11"/>
  <c r="J1255" i="11"/>
  <c r="L1255" i="11" s="1"/>
  <c r="A1256" i="11"/>
  <c r="J1256" i="11"/>
  <c r="L1256" i="11" s="1"/>
  <c r="A1257" i="11"/>
  <c r="J1257" i="11"/>
  <c r="L1257" i="11" s="1"/>
  <c r="A1258" i="11"/>
  <c r="J1258" i="11"/>
  <c r="L1258" i="11" s="1"/>
  <c r="A1259" i="11"/>
  <c r="J1259" i="11"/>
  <c r="L1259" i="11" s="1"/>
  <c r="A1260" i="11"/>
  <c r="J1260" i="11"/>
  <c r="L1260" i="11" s="1"/>
  <c r="A1261" i="11"/>
  <c r="J1261" i="11"/>
  <c r="L1261" i="11" s="1"/>
  <c r="A1262" i="11"/>
  <c r="J1262" i="11"/>
  <c r="L1262" i="11" s="1"/>
  <c r="A1263" i="11"/>
  <c r="J1263" i="11"/>
  <c r="L1263" i="11" s="1"/>
  <c r="A1264" i="11"/>
  <c r="J1264" i="11"/>
  <c r="L1264" i="11" s="1"/>
  <c r="A1265" i="11"/>
  <c r="J1265" i="11"/>
  <c r="L1265" i="11" s="1"/>
  <c r="A1266" i="11"/>
  <c r="J1266" i="11"/>
  <c r="L1266" i="11" s="1"/>
  <c r="A1267" i="11"/>
  <c r="J1267" i="11"/>
  <c r="L1267" i="11" s="1"/>
  <c r="A1268" i="11"/>
  <c r="J1268" i="11"/>
  <c r="L1268" i="11" s="1"/>
  <c r="A1269" i="11"/>
  <c r="J1269" i="11"/>
  <c r="L1269" i="11" s="1"/>
  <c r="A1270" i="11"/>
  <c r="J1270" i="11"/>
  <c r="L1270" i="11" s="1"/>
  <c r="A1271" i="11"/>
  <c r="J1271" i="11"/>
  <c r="L1271" i="11" s="1"/>
  <c r="A1272" i="11"/>
  <c r="J1272" i="11"/>
  <c r="L1272" i="11" s="1"/>
  <c r="A1273" i="11"/>
  <c r="J1273" i="11"/>
  <c r="L1273" i="11" s="1"/>
  <c r="A1274" i="11"/>
  <c r="J1274" i="11"/>
  <c r="L1274" i="11" s="1"/>
  <c r="A1275" i="11"/>
  <c r="J1275" i="11"/>
  <c r="L1275" i="11" s="1"/>
  <c r="A1276" i="11"/>
  <c r="J1276" i="11"/>
  <c r="L1276" i="11" s="1"/>
  <c r="A1277" i="11"/>
  <c r="J1277" i="11"/>
  <c r="L1277" i="11" s="1"/>
  <c r="A1278" i="11"/>
  <c r="J1278" i="11"/>
  <c r="L1278" i="11" s="1"/>
  <c r="A1279" i="11"/>
  <c r="J1279" i="11"/>
  <c r="L1279" i="11" s="1"/>
  <c r="A1280" i="11"/>
  <c r="J1280" i="11"/>
  <c r="L1280" i="11" s="1"/>
  <c r="A1281" i="11"/>
  <c r="J1281" i="11"/>
  <c r="L1281" i="11" s="1"/>
  <c r="A1282" i="11"/>
  <c r="J1282" i="11"/>
  <c r="L1282" i="11" s="1"/>
  <c r="A1283" i="11"/>
  <c r="J1283" i="11"/>
  <c r="L1283" i="11" s="1"/>
  <c r="A1284" i="11"/>
  <c r="J1284" i="11"/>
  <c r="L1284" i="11" s="1"/>
  <c r="A1285" i="11"/>
  <c r="J1285" i="11"/>
  <c r="L1285" i="11" s="1"/>
  <c r="A1286" i="11"/>
  <c r="J1286" i="11"/>
  <c r="L1286" i="11" s="1"/>
  <c r="A1287" i="11"/>
  <c r="J1287" i="11"/>
  <c r="L1287" i="11" s="1"/>
  <c r="A1288" i="11"/>
  <c r="J1288" i="11"/>
  <c r="L1288" i="11" s="1"/>
  <c r="A1289" i="11"/>
  <c r="J1289" i="11"/>
  <c r="L1289" i="11" s="1"/>
  <c r="A1290" i="11"/>
  <c r="J1290" i="11"/>
  <c r="L1290" i="11" s="1"/>
  <c r="A1291" i="11"/>
  <c r="J1291" i="11"/>
  <c r="L1291" i="11" s="1"/>
  <c r="A1292" i="11"/>
  <c r="J1292" i="11"/>
  <c r="L1292" i="11" s="1"/>
  <c r="A1293" i="11"/>
  <c r="J1293" i="11"/>
  <c r="L1293" i="11" s="1"/>
  <c r="A1294" i="11"/>
  <c r="J1294" i="11"/>
  <c r="L1294" i="11" s="1"/>
  <c r="A1295" i="11"/>
  <c r="J1295" i="11"/>
  <c r="L1295" i="11" s="1"/>
  <c r="A1296" i="11"/>
  <c r="J1296" i="11"/>
  <c r="L1296" i="11" s="1"/>
  <c r="A1297" i="11"/>
  <c r="J1297" i="11"/>
  <c r="L1297" i="11" s="1"/>
  <c r="A1298" i="11"/>
  <c r="J1298" i="11"/>
  <c r="L1298" i="11" s="1"/>
  <c r="A1299" i="11"/>
  <c r="J1299" i="11"/>
  <c r="L1299" i="11" s="1"/>
  <c r="A1300" i="11"/>
  <c r="J1300" i="11"/>
  <c r="L1300" i="11" s="1"/>
  <c r="A1301" i="11"/>
  <c r="J1301" i="11"/>
  <c r="L1301" i="11" s="1"/>
  <c r="A1302" i="11"/>
  <c r="J1302" i="11"/>
  <c r="L1302" i="11" s="1"/>
  <c r="A1303" i="11"/>
  <c r="J1303" i="11"/>
  <c r="L1303" i="11" s="1"/>
  <c r="A1304" i="11"/>
  <c r="J1304" i="11"/>
  <c r="L1304" i="11" s="1"/>
  <c r="A1305" i="11"/>
  <c r="J1305" i="11"/>
  <c r="L1305" i="11" s="1"/>
  <c r="A1306" i="11"/>
  <c r="J1306" i="11"/>
  <c r="L1306" i="11" s="1"/>
  <c r="A1307" i="11"/>
  <c r="J1307" i="11"/>
  <c r="L1307" i="11" s="1"/>
  <c r="A1308" i="11"/>
  <c r="J1308" i="11"/>
  <c r="L1308" i="11" s="1"/>
  <c r="A1309" i="11"/>
  <c r="J1309" i="11"/>
  <c r="L1309" i="11" s="1"/>
  <c r="A1310" i="11"/>
  <c r="J1310" i="11"/>
  <c r="L1310" i="11" s="1"/>
  <c r="A1311" i="11"/>
  <c r="J1311" i="11"/>
  <c r="L1311" i="11" s="1"/>
  <c r="A1312" i="11"/>
  <c r="J1312" i="11"/>
  <c r="L1312" i="11" s="1"/>
  <c r="A1313" i="11"/>
  <c r="J1313" i="11"/>
  <c r="L1313" i="11" s="1"/>
  <c r="A1314" i="11"/>
  <c r="J1314" i="11"/>
  <c r="L1314" i="11" s="1"/>
  <c r="A1315" i="11"/>
  <c r="J1315" i="11"/>
  <c r="L1315" i="11" s="1"/>
  <c r="A1316" i="11"/>
  <c r="J1316" i="11"/>
  <c r="L1316" i="11" s="1"/>
  <c r="A1317" i="11"/>
  <c r="J1317" i="11"/>
  <c r="L1317" i="11" s="1"/>
  <c r="A1318" i="11"/>
  <c r="J1318" i="11"/>
  <c r="L1318" i="11" s="1"/>
  <c r="A1319" i="11"/>
  <c r="J1319" i="11"/>
  <c r="L1319" i="11" s="1"/>
  <c r="A1320" i="11"/>
  <c r="J1320" i="11"/>
  <c r="L1320" i="11" s="1"/>
  <c r="A1321" i="11"/>
  <c r="J1321" i="11"/>
  <c r="L1321" i="11" s="1"/>
  <c r="A1322" i="11"/>
  <c r="J1322" i="11"/>
  <c r="L1322" i="11" s="1"/>
  <c r="A1323" i="11"/>
  <c r="J1323" i="11"/>
  <c r="L1323" i="11" s="1"/>
  <c r="A1324" i="11"/>
  <c r="J1324" i="11"/>
  <c r="L1324" i="11" s="1"/>
  <c r="A1325" i="11"/>
  <c r="J1325" i="11"/>
  <c r="L1325" i="11" s="1"/>
  <c r="A1326" i="11"/>
  <c r="J1326" i="11"/>
  <c r="L1326" i="11" s="1"/>
  <c r="A1327" i="11"/>
  <c r="J1327" i="11"/>
  <c r="L1327" i="11" s="1"/>
  <c r="A1328" i="11"/>
  <c r="J1328" i="11"/>
  <c r="L1328" i="11" s="1"/>
  <c r="A1329" i="11"/>
  <c r="J1329" i="11"/>
  <c r="L1329" i="11" s="1"/>
  <c r="A1330" i="11"/>
  <c r="J1330" i="11"/>
  <c r="L1330" i="11" s="1"/>
  <c r="A1331" i="11"/>
  <c r="J1331" i="11"/>
  <c r="L1331" i="11" s="1"/>
  <c r="A1332" i="11"/>
  <c r="J1332" i="11"/>
  <c r="L1332" i="11" s="1"/>
  <c r="A1333" i="11"/>
  <c r="J1333" i="11"/>
  <c r="L1333" i="11" s="1"/>
  <c r="A1334" i="11"/>
  <c r="J1334" i="11"/>
  <c r="L1334" i="11" s="1"/>
  <c r="A1335" i="11"/>
  <c r="J1335" i="11"/>
  <c r="L1335" i="11" s="1"/>
  <c r="A1336" i="11"/>
  <c r="J1336" i="11"/>
  <c r="L1336" i="11" s="1"/>
  <c r="A1337" i="11"/>
  <c r="J1337" i="11"/>
  <c r="L1337" i="11" s="1"/>
  <c r="A1338" i="11"/>
  <c r="J1338" i="11"/>
  <c r="L1338" i="11" s="1"/>
  <c r="A1339" i="11"/>
  <c r="J1339" i="11"/>
  <c r="L1339" i="11" s="1"/>
  <c r="A1340" i="11"/>
  <c r="J1340" i="11"/>
  <c r="L1340" i="11" s="1"/>
  <c r="A1341" i="11"/>
  <c r="J1341" i="11"/>
  <c r="L1341" i="11" s="1"/>
  <c r="A1342" i="11"/>
  <c r="J1342" i="11"/>
  <c r="L1342" i="11" s="1"/>
  <c r="A1343" i="11"/>
  <c r="J1343" i="11"/>
  <c r="L1343" i="11" s="1"/>
  <c r="A1344" i="11"/>
  <c r="J1344" i="11"/>
  <c r="L1344" i="11" s="1"/>
  <c r="A1345" i="11"/>
  <c r="J1345" i="11"/>
  <c r="L1345" i="11" s="1"/>
  <c r="A1346" i="11"/>
  <c r="J1346" i="11"/>
  <c r="L1346" i="11" s="1"/>
  <c r="A1347" i="11"/>
  <c r="J1347" i="11"/>
  <c r="L1347" i="11" s="1"/>
  <c r="A1348" i="11"/>
  <c r="J1348" i="11"/>
  <c r="L1348" i="11" s="1"/>
  <c r="A1349" i="11"/>
  <c r="J1349" i="11"/>
  <c r="L1349" i="11" s="1"/>
  <c r="A1350" i="11"/>
  <c r="J1350" i="11"/>
  <c r="L1350" i="11" s="1"/>
  <c r="A1351" i="11"/>
  <c r="J1351" i="11"/>
  <c r="L1351" i="11" s="1"/>
  <c r="A1352" i="11"/>
  <c r="J1352" i="11"/>
  <c r="L1352" i="11" s="1"/>
  <c r="A1353" i="11"/>
  <c r="J1353" i="11"/>
  <c r="L1353" i="11" s="1"/>
  <c r="A1354" i="11"/>
  <c r="J1354" i="11"/>
  <c r="L1354" i="11" s="1"/>
  <c r="A1355" i="11"/>
  <c r="J1355" i="11"/>
  <c r="L1355" i="11" s="1"/>
  <c r="A1356" i="11"/>
  <c r="J1356" i="11"/>
  <c r="L1356" i="11" s="1"/>
  <c r="A1357" i="11"/>
  <c r="J1357" i="11"/>
  <c r="L1357" i="11" s="1"/>
  <c r="A1358" i="11"/>
  <c r="J1358" i="11"/>
  <c r="L1358" i="11" s="1"/>
  <c r="A1359" i="11"/>
  <c r="J1359" i="11"/>
  <c r="L1359" i="11" s="1"/>
  <c r="A1360" i="11"/>
  <c r="J1360" i="11"/>
  <c r="L1360" i="11" s="1"/>
  <c r="A1361" i="11"/>
  <c r="J1361" i="11"/>
  <c r="L1361" i="11" s="1"/>
  <c r="A1362" i="11"/>
  <c r="J1362" i="11"/>
  <c r="L1362" i="11" s="1"/>
  <c r="A1363" i="11"/>
  <c r="J1363" i="11"/>
  <c r="L1363" i="11" s="1"/>
  <c r="A1364" i="11"/>
  <c r="J1364" i="11"/>
  <c r="L1364" i="11" s="1"/>
  <c r="A1365" i="11"/>
  <c r="J1365" i="11"/>
  <c r="L1365" i="11" s="1"/>
  <c r="A1366" i="11"/>
  <c r="J1366" i="11"/>
  <c r="L1366" i="11" s="1"/>
  <c r="A1367" i="11"/>
  <c r="J1367" i="11"/>
  <c r="L1367" i="11" s="1"/>
  <c r="A1368" i="11"/>
  <c r="J1368" i="11"/>
  <c r="L1368" i="11" s="1"/>
  <c r="A1369" i="11"/>
  <c r="J1369" i="11"/>
  <c r="L1369" i="11" s="1"/>
  <c r="A1370" i="11"/>
  <c r="J1370" i="11"/>
  <c r="L1370" i="11" s="1"/>
  <c r="A1371" i="11"/>
  <c r="J1371" i="11"/>
  <c r="L1371" i="11" s="1"/>
  <c r="A1372" i="11"/>
  <c r="J1372" i="11"/>
  <c r="L1372" i="11" s="1"/>
  <c r="A1373" i="11"/>
  <c r="J1373" i="11"/>
  <c r="L1373" i="11" s="1"/>
  <c r="A1374" i="11"/>
  <c r="J1374" i="11"/>
  <c r="L1374" i="11" s="1"/>
  <c r="A1375" i="11"/>
  <c r="J1375" i="11"/>
  <c r="L1375" i="11" s="1"/>
  <c r="A1376" i="11"/>
  <c r="J1376" i="11"/>
  <c r="L1376" i="11" s="1"/>
  <c r="A1377" i="11"/>
  <c r="J1377" i="11"/>
  <c r="L1377" i="11" s="1"/>
  <c r="A1378" i="11"/>
  <c r="J1378" i="11"/>
  <c r="L1378" i="11" s="1"/>
  <c r="A1379" i="11"/>
  <c r="J1379" i="11"/>
  <c r="L1379" i="11" s="1"/>
  <c r="A1380" i="11"/>
  <c r="J1380" i="11"/>
  <c r="L1380" i="11" s="1"/>
  <c r="A1381" i="11"/>
  <c r="J1381" i="11"/>
  <c r="L1381" i="11" s="1"/>
  <c r="A1382" i="11"/>
  <c r="J1382" i="11"/>
  <c r="L1382" i="11" s="1"/>
  <c r="A1383" i="11"/>
  <c r="J1383" i="11"/>
  <c r="L1383" i="11" s="1"/>
  <c r="A1384" i="11"/>
  <c r="J1384" i="11"/>
  <c r="L1384" i="11" s="1"/>
  <c r="A1385" i="11"/>
  <c r="J1385" i="11"/>
  <c r="L1385" i="11" s="1"/>
  <c r="A1386" i="11"/>
  <c r="J1386" i="11"/>
  <c r="L1386" i="11" s="1"/>
  <c r="A1387" i="11"/>
  <c r="J1387" i="11"/>
  <c r="L1387" i="11" s="1"/>
  <c r="A1388" i="11"/>
  <c r="J1388" i="11"/>
  <c r="L1388" i="11" s="1"/>
  <c r="A1389" i="11"/>
  <c r="J1389" i="11"/>
  <c r="L1389" i="11" s="1"/>
  <c r="A1390" i="11"/>
  <c r="J1390" i="11"/>
  <c r="L1390" i="11" s="1"/>
  <c r="A1391" i="11"/>
  <c r="J1391" i="11"/>
  <c r="L1391" i="11" s="1"/>
  <c r="A1392" i="11"/>
  <c r="J1392" i="11"/>
  <c r="L1392" i="11" s="1"/>
  <c r="A1393" i="11"/>
  <c r="J1393" i="11"/>
  <c r="L1393" i="11" s="1"/>
  <c r="A1394" i="11"/>
  <c r="J1394" i="11"/>
  <c r="L1394" i="11" s="1"/>
  <c r="A1395" i="11"/>
  <c r="J1395" i="11"/>
  <c r="L1395" i="11" s="1"/>
  <c r="A1396" i="11"/>
  <c r="J1396" i="11"/>
  <c r="L1396" i="11" s="1"/>
  <c r="A1397" i="11"/>
  <c r="J1397" i="11"/>
  <c r="L1397" i="11" s="1"/>
  <c r="A1398" i="11"/>
  <c r="J1398" i="11"/>
  <c r="L1398" i="11" s="1"/>
  <c r="A1399" i="11"/>
  <c r="J1399" i="11"/>
  <c r="L1399" i="11" s="1"/>
  <c r="A1400" i="11"/>
  <c r="J1400" i="11"/>
  <c r="L1400" i="11" s="1"/>
  <c r="A1401" i="11"/>
  <c r="J1401" i="11"/>
  <c r="L1401" i="11" s="1"/>
  <c r="A1402" i="11"/>
  <c r="J1402" i="11"/>
  <c r="L1402" i="11" s="1"/>
  <c r="A1403" i="11"/>
  <c r="J1403" i="11"/>
  <c r="L1403" i="11" s="1"/>
  <c r="A1404" i="11"/>
  <c r="J1404" i="11"/>
  <c r="L1404" i="11" s="1"/>
  <c r="A1405" i="11"/>
  <c r="J1405" i="11"/>
  <c r="L1405" i="11" s="1"/>
  <c r="A1406" i="11"/>
  <c r="J1406" i="11"/>
  <c r="L1406" i="11" s="1"/>
  <c r="A1407" i="11"/>
  <c r="J1407" i="11"/>
  <c r="L1407" i="11" s="1"/>
  <c r="A1408" i="11"/>
  <c r="J1408" i="11"/>
  <c r="L1408" i="11" s="1"/>
  <c r="A1409" i="11"/>
  <c r="J1409" i="11"/>
  <c r="L1409" i="11" s="1"/>
  <c r="A1410" i="11"/>
  <c r="J1410" i="11"/>
  <c r="L1410" i="11" s="1"/>
  <c r="A1411" i="11"/>
  <c r="J1411" i="11"/>
  <c r="L1411" i="11" s="1"/>
  <c r="A1412" i="11"/>
  <c r="J1412" i="11"/>
  <c r="L1412" i="11" s="1"/>
  <c r="A1413" i="11"/>
  <c r="J1413" i="11"/>
  <c r="L1413" i="11" s="1"/>
  <c r="A1414" i="11"/>
  <c r="J1414" i="11"/>
  <c r="L1414" i="11" s="1"/>
  <c r="A1415" i="11"/>
  <c r="J1415" i="11"/>
  <c r="L1415" i="11" s="1"/>
  <c r="A1416" i="11"/>
  <c r="J1416" i="11"/>
  <c r="L1416" i="11" s="1"/>
  <c r="A1417" i="11"/>
  <c r="J1417" i="11"/>
  <c r="L1417" i="11" s="1"/>
  <c r="A1418" i="11"/>
  <c r="J1418" i="11"/>
  <c r="L1418" i="11" s="1"/>
  <c r="A1419" i="11"/>
  <c r="J1419" i="11"/>
  <c r="L1419" i="11" s="1"/>
  <c r="A1420" i="11"/>
  <c r="J1420" i="11"/>
  <c r="L1420" i="11" s="1"/>
  <c r="A1421" i="11"/>
  <c r="J1421" i="11"/>
  <c r="L1421" i="11" s="1"/>
  <c r="A1422" i="11"/>
  <c r="J1422" i="11"/>
  <c r="L1422" i="11" s="1"/>
  <c r="A1423" i="11"/>
  <c r="J1423" i="11"/>
  <c r="L1423" i="11" s="1"/>
  <c r="A1424" i="11"/>
  <c r="J1424" i="11"/>
  <c r="L1424" i="11" s="1"/>
  <c r="A1425" i="11"/>
  <c r="J1425" i="11"/>
  <c r="L1425" i="11" s="1"/>
  <c r="A1426" i="11"/>
  <c r="J1426" i="11"/>
  <c r="L1426" i="11" s="1"/>
  <c r="A1427" i="11"/>
  <c r="J1427" i="11"/>
  <c r="L1427" i="11" s="1"/>
  <c r="A1428" i="11"/>
  <c r="J1428" i="11"/>
  <c r="L1428" i="11" s="1"/>
  <c r="A1429" i="11"/>
  <c r="J1429" i="11"/>
  <c r="L1429" i="11" s="1"/>
  <c r="A1430" i="11"/>
  <c r="J1430" i="11"/>
  <c r="L1430" i="11" s="1"/>
  <c r="A1431" i="11"/>
  <c r="J1431" i="11"/>
  <c r="L1431" i="11" s="1"/>
  <c r="A1432" i="11"/>
  <c r="J1432" i="11"/>
  <c r="L1432" i="11" s="1"/>
  <c r="A1433" i="11"/>
  <c r="J1433" i="11"/>
  <c r="L1433" i="11" s="1"/>
  <c r="A1434" i="11"/>
  <c r="J1434" i="11"/>
  <c r="L1434" i="11" s="1"/>
  <c r="A1435" i="11"/>
  <c r="J1435" i="11"/>
  <c r="L1435" i="11" s="1"/>
  <c r="Y36" i="11"/>
  <c r="Y37" i="11"/>
  <c r="Y38" i="11"/>
  <c r="Y39" i="11"/>
  <c r="Y40" i="11"/>
  <c r="Y41" i="11"/>
  <c r="Y42" i="11"/>
  <c r="Y43" i="11"/>
  <c r="Y44" i="11"/>
  <c r="Y45" i="11"/>
  <c r="Y46" i="11"/>
  <c r="Y47" i="11"/>
  <c r="Y48" i="11"/>
  <c r="Y49" i="11"/>
  <c r="Y50" i="11"/>
  <c r="Y51" i="11"/>
  <c r="Y52" i="11"/>
  <c r="Y53" i="11"/>
  <c r="Y54" i="11"/>
  <c r="Y55" i="11"/>
  <c r="Y56" i="11"/>
  <c r="Y57" i="11"/>
  <c r="Y58" i="11"/>
  <c r="Y59" i="11"/>
  <c r="Y60" i="11"/>
  <c r="Y61" i="11"/>
  <c r="Y62" i="11"/>
  <c r="Y63" i="11"/>
  <c r="Y64" i="11"/>
  <c r="Y65" i="11"/>
  <c r="Y66" i="11"/>
  <c r="Y67" i="11"/>
  <c r="Y68" i="11"/>
  <c r="Y69" i="11"/>
  <c r="Y70" i="11"/>
  <c r="Y71" i="11"/>
  <c r="Y72" i="11"/>
  <c r="Y73" i="11"/>
  <c r="Y74" i="11"/>
  <c r="Y75" i="11"/>
  <c r="Y76" i="11"/>
  <c r="Y77" i="11"/>
  <c r="Y78" i="11"/>
  <c r="Y79" i="11"/>
  <c r="Y80" i="11"/>
  <c r="Y81" i="11"/>
  <c r="Y82" i="11"/>
  <c r="Y83" i="11"/>
  <c r="Y84" i="11"/>
  <c r="Y85" i="11"/>
  <c r="Y86" i="11"/>
  <c r="Y87" i="11"/>
  <c r="Y88" i="11"/>
  <c r="Y89" i="11"/>
  <c r="Y90" i="11"/>
  <c r="Y91" i="11"/>
  <c r="Y92" i="11"/>
  <c r="Y93" i="11"/>
  <c r="Y94" i="11"/>
  <c r="Y95" i="11"/>
  <c r="Y96" i="11"/>
  <c r="Y97" i="11"/>
  <c r="Y98" i="11"/>
  <c r="Y99" i="11"/>
  <c r="Y100" i="11"/>
  <c r="Y101" i="11"/>
  <c r="Y102" i="11"/>
  <c r="Y103" i="11"/>
  <c r="Y104" i="11"/>
  <c r="Y105" i="11"/>
  <c r="Y106" i="11"/>
  <c r="Y107" i="11"/>
  <c r="Y108" i="11"/>
  <c r="Y109" i="11"/>
  <c r="Y110" i="11"/>
  <c r="Y111" i="11"/>
  <c r="Y112" i="11"/>
  <c r="Y113" i="11"/>
  <c r="Y114" i="11"/>
  <c r="Y115" i="11"/>
  <c r="Y116" i="11"/>
  <c r="Y117" i="11"/>
  <c r="Y118" i="11"/>
  <c r="Y119" i="11"/>
  <c r="Y120" i="11"/>
  <c r="Y121" i="11"/>
  <c r="Y122" i="11"/>
  <c r="Y123" i="11"/>
  <c r="Y124" i="11"/>
  <c r="Y125" i="11"/>
  <c r="Y126" i="11"/>
  <c r="Y127" i="11"/>
  <c r="Y128" i="11"/>
  <c r="Y129" i="11"/>
  <c r="Y130" i="11"/>
  <c r="Y131" i="11"/>
  <c r="Y132" i="11"/>
  <c r="Y133" i="11"/>
  <c r="Y134" i="11"/>
  <c r="Y135" i="11"/>
  <c r="Y136" i="11"/>
  <c r="Y137" i="11"/>
  <c r="Y138" i="11"/>
  <c r="Y139" i="11"/>
  <c r="Y140" i="11"/>
  <c r="Y141" i="11"/>
  <c r="Y142" i="11"/>
  <c r="Y143" i="11"/>
  <c r="Y144" i="11"/>
  <c r="Y145" i="11"/>
  <c r="Y146" i="11"/>
  <c r="Y147" i="11"/>
  <c r="Y148" i="11"/>
  <c r="Y149" i="11"/>
  <c r="Y150" i="11"/>
  <c r="X36" i="11"/>
  <c r="X37" i="11"/>
  <c r="X38" i="11"/>
  <c r="X39" i="11"/>
  <c r="X40" i="11"/>
  <c r="X41" i="11"/>
  <c r="X42" i="11"/>
  <c r="X43" i="11"/>
  <c r="X44" i="11"/>
  <c r="X45" i="11"/>
  <c r="X46" i="11"/>
  <c r="X47" i="11"/>
  <c r="X48" i="11"/>
  <c r="X49" i="11"/>
  <c r="X50" i="11"/>
  <c r="X51" i="11"/>
  <c r="X52" i="11"/>
  <c r="X53" i="11"/>
  <c r="X54" i="11"/>
  <c r="X55" i="11"/>
  <c r="X56" i="11"/>
  <c r="X57" i="11"/>
  <c r="X58" i="11"/>
  <c r="X59" i="11"/>
  <c r="X60" i="11"/>
  <c r="X61" i="11"/>
  <c r="X62" i="11"/>
  <c r="X63" i="11"/>
  <c r="X64" i="11"/>
  <c r="X65" i="11"/>
  <c r="X66" i="11"/>
  <c r="X67" i="11"/>
  <c r="X68" i="11"/>
  <c r="X69" i="11"/>
  <c r="X70" i="11"/>
  <c r="X71" i="11"/>
  <c r="X72" i="11"/>
  <c r="X73" i="11"/>
  <c r="X74" i="11"/>
  <c r="X75" i="11"/>
  <c r="X76" i="11"/>
  <c r="X77" i="11"/>
  <c r="X78" i="11"/>
  <c r="X79" i="11"/>
  <c r="X80" i="11"/>
  <c r="X81" i="11"/>
  <c r="X82" i="11"/>
  <c r="X83" i="11"/>
  <c r="X84" i="11"/>
  <c r="X85" i="11"/>
  <c r="X86" i="11"/>
  <c r="X87" i="11"/>
  <c r="X88" i="11"/>
  <c r="X89" i="11"/>
  <c r="X90" i="11"/>
  <c r="X91" i="11"/>
  <c r="X92" i="11"/>
  <c r="X93" i="11"/>
  <c r="X94" i="11"/>
  <c r="X95" i="11"/>
  <c r="X96" i="11"/>
  <c r="X97" i="11"/>
  <c r="X98" i="11"/>
  <c r="X99" i="11"/>
  <c r="X100" i="11"/>
  <c r="X101" i="11"/>
  <c r="X102" i="11"/>
  <c r="X103" i="11"/>
  <c r="X104" i="11"/>
  <c r="X105" i="11"/>
  <c r="X106" i="11"/>
  <c r="X107" i="11"/>
  <c r="X108" i="11"/>
  <c r="X109" i="11"/>
  <c r="X110" i="11"/>
  <c r="X111" i="11"/>
  <c r="X112" i="11"/>
  <c r="X113" i="11"/>
  <c r="X114" i="11"/>
  <c r="X115" i="11"/>
  <c r="X116" i="11"/>
  <c r="X117" i="11"/>
  <c r="X118" i="11"/>
  <c r="X119" i="11"/>
  <c r="X120" i="11"/>
  <c r="X121" i="11"/>
  <c r="X122" i="11"/>
  <c r="X123" i="11"/>
  <c r="X124" i="11"/>
  <c r="X125" i="11"/>
  <c r="X126" i="11"/>
  <c r="X127" i="11"/>
  <c r="X128" i="11"/>
  <c r="X129" i="11"/>
  <c r="X130" i="11"/>
  <c r="X131" i="11"/>
  <c r="X132" i="11"/>
  <c r="X133" i="11"/>
  <c r="X134" i="11"/>
  <c r="X135" i="11"/>
  <c r="X136" i="11"/>
  <c r="X137" i="11"/>
  <c r="X138" i="11"/>
  <c r="X139" i="11"/>
  <c r="X140" i="11"/>
  <c r="X141" i="11"/>
  <c r="X142" i="11"/>
  <c r="X143" i="11"/>
  <c r="X144" i="11"/>
  <c r="X145" i="11"/>
  <c r="X146" i="11"/>
  <c r="X147" i="11"/>
  <c r="X148" i="11"/>
  <c r="X149" i="11"/>
  <c r="X150" i="11"/>
  <c r="O17" i="11"/>
  <c r="O16" i="11"/>
  <c r="J50" i="11"/>
  <c r="L50" i="11" s="1"/>
  <c r="J51" i="11"/>
  <c r="L51" i="11" s="1"/>
  <c r="A50" i="11"/>
  <c r="A7" i="11"/>
  <c r="AE12" i="11"/>
  <c r="A49" i="11"/>
  <c r="J49" i="11"/>
  <c r="A48" i="11"/>
  <c r="J48" i="11"/>
  <c r="A51"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4" i="11"/>
  <c r="J45" i="11"/>
  <c r="J46" i="11"/>
  <c r="J47" i="11"/>
  <c r="J7" i="11"/>
  <c r="L7" i="11" s="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8" i="11"/>
  <c r="V3" i="12"/>
  <c r="V4" i="12" s="1"/>
  <c r="J43" i="11"/>
  <c r="AR10" i="11" l="1"/>
  <c r="V7" i="12"/>
  <c r="V9" i="12" s="1"/>
  <c r="V11" i="12" s="1"/>
  <c r="K23" i="12" s="1"/>
  <c r="R7" i="11" a="1"/>
  <c r="R7" i="11" s="1"/>
  <c r="B3" i="13" s="1" a="1"/>
  <c r="Q7" i="11" a="1"/>
  <c r="Q7" i="11" s="1"/>
  <c r="L8" i="11"/>
  <c r="V6" i="12"/>
  <c r="V5" i="12"/>
  <c r="L9" i="11" l="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B3" i="13"/>
  <c r="AD2" i="12" l="1"/>
  <c r="O7" i="11" a="1"/>
  <c r="O7" i="11" s="1"/>
  <c r="W7" i="11" a="1"/>
  <c r="W7" i="11" s="1"/>
  <c r="V7" i="11" a="1"/>
  <c r="Y8" i="11" l="1"/>
  <c r="Y12" i="11"/>
  <c r="Y16" i="11"/>
  <c r="Y20" i="11"/>
  <c r="Y24" i="11"/>
  <c r="Y28" i="11"/>
  <c r="Y32" i="11"/>
  <c r="X11" i="11"/>
  <c r="X15" i="11"/>
  <c r="X19" i="11"/>
  <c r="X23" i="11"/>
  <c r="X27" i="11"/>
  <c r="X31" i="11"/>
  <c r="X35" i="11"/>
  <c r="X34" i="11"/>
  <c r="Y9" i="11"/>
  <c r="Y13" i="11"/>
  <c r="Y17" i="11"/>
  <c r="Y21" i="11"/>
  <c r="Y25" i="11"/>
  <c r="Y29" i="11"/>
  <c r="Y33" i="11"/>
  <c r="X8" i="11"/>
  <c r="X12" i="11"/>
  <c r="X16" i="11"/>
  <c r="X20" i="11"/>
  <c r="X24" i="11"/>
  <c r="X28" i="11"/>
  <c r="X32" i="11"/>
  <c r="Y15" i="11"/>
  <c r="X14" i="11"/>
  <c r="X26" i="11"/>
  <c r="Y10" i="11"/>
  <c r="Y14" i="11"/>
  <c r="Y18" i="11"/>
  <c r="Y22" i="11"/>
  <c r="Y26" i="11"/>
  <c r="Y30" i="11"/>
  <c r="Y34" i="11"/>
  <c r="X9" i="11"/>
  <c r="X13" i="11"/>
  <c r="X17" i="11"/>
  <c r="X21" i="11"/>
  <c r="X25" i="11"/>
  <c r="X29" i="11"/>
  <c r="X33" i="11"/>
  <c r="Y11" i="11"/>
  <c r="Y19" i="11"/>
  <c r="Y23" i="11"/>
  <c r="Y27" i="11"/>
  <c r="Y31" i="11"/>
  <c r="Y35" i="11"/>
  <c r="X10" i="11"/>
  <c r="X18" i="11"/>
  <c r="X22" i="11"/>
  <c r="X30" i="11"/>
  <c r="V7" i="11"/>
  <c r="Y7" i="11" l="1"/>
  <c r="X7" i="11"/>
  <c r="C11" i="13"/>
  <c r="C15" i="13"/>
  <c r="C19" i="13"/>
  <c r="C23" i="13"/>
  <c r="C27" i="13"/>
  <c r="C31" i="13"/>
  <c r="C14" i="13"/>
  <c r="C18" i="13"/>
  <c r="C22" i="13"/>
  <c r="C26" i="13"/>
  <c r="C30" i="13"/>
  <c r="C34" i="13"/>
  <c r="C12" i="13"/>
  <c r="C16" i="13"/>
  <c r="C20" i="13"/>
  <c r="C24" i="13"/>
  <c r="C28" i="13"/>
  <c r="C32" i="13"/>
  <c r="C13" i="13"/>
  <c r="C17" i="13"/>
  <c r="C21" i="13"/>
  <c r="C25" i="13"/>
  <c r="C29" i="13"/>
  <c r="C33" i="13"/>
  <c r="C7" i="13"/>
  <c r="C8" i="13"/>
  <c r="C6" i="13"/>
  <c r="C5" i="13"/>
  <c r="C10" i="13"/>
  <c r="C9" i="13"/>
  <c r="C4" i="13"/>
  <c r="C3" i="13"/>
  <c r="AB4" i="12"/>
  <c r="AA3" i="12"/>
  <c r="AB3" i="12"/>
  <c r="AA4" i="12"/>
  <c r="E33" i="13" l="1"/>
  <c r="F33" i="13"/>
  <c r="E34" i="13"/>
  <c r="D34" i="13" s="1" a="1"/>
  <c r="D34" i="13" s="1"/>
  <c r="F34" i="13"/>
  <c r="E4" i="13"/>
  <c r="D4" i="13" s="1" a="1"/>
  <c r="D4" i="13" s="1"/>
  <c r="F4" i="13"/>
  <c r="E29" i="13"/>
  <c r="D29" i="13" s="1" a="1"/>
  <c r="D29" i="13" s="1"/>
  <c r="F29" i="13"/>
  <c r="E13" i="13"/>
  <c r="D13" i="13" s="1" a="1"/>
  <c r="D13" i="13" s="1"/>
  <c r="F13" i="13"/>
  <c r="E20" i="13"/>
  <c r="D20" i="13" s="1" a="1"/>
  <c r="D20" i="13" s="1"/>
  <c r="F20" i="13"/>
  <c r="E30" i="13"/>
  <c r="D30" i="13" s="1" a="1"/>
  <c r="D30" i="13" s="1"/>
  <c r="F30" i="13"/>
  <c r="E14" i="13"/>
  <c r="D14" i="13" s="1" a="1"/>
  <c r="D14" i="13" s="1"/>
  <c r="F14" i="13"/>
  <c r="E19" i="13"/>
  <c r="D19" i="13" s="1" a="1"/>
  <c r="D19" i="13" s="1"/>
  <c r="F19" i="13"/>
  <c r="E17" i="13"/>
  <c r="D17" i="13" s="1" a="1"/>
  <c r="D17" i="13" s="1"/>
  <c r="F17" i="13"/>
  <c r="E23" i="13"/>
  <c r="D23" i="13" s="1" a="1"/>
  <c r="D23" i="13" s="1"/>
  <c r="F23" i="13"/>
  <c r="E9" i="13"/>
  <c r="D9" i="13" s="1" a="1"/>
  <c r="D9" i="13" s="1"/>
  <c r="F9" i="13"/>
  <c r="E8" i="13"/>
  <c r="D8" i="13" s="1" a="1"/>
  <c r="D8" i="13" s="1"/>
  <c r="F8" i="13"/>
  <c r="E25" i="13"/>
  <c r="D25" i="13" s="1" a="1"/>
  <c r="D25" i="13" s="1"/>
  <c r="F25" i="13"/>
  <c r="E32" i="13"/>
  <c r="D32" i="13" s="1" a="1"/>
  <c r="D32" i="13" s="1"/>
  <c r="F32" i="13"/>
  <c r="E16" i="13"/>
  <c r="D16" i="13" s="1" a="1"/>
  <c r="D16" i="13" s="1"/>
  <c r="F16" i="13"/>
  <c r="E26" i="13"/>
  <c r="D26" i="13" s="1" a="1"/>
  <c r="D26" i="13" s="1"/>
  <c r="F26" i="13"/>
  <c r="E31" i="13"/>
  <c r="D31" i="13" s="1" a="1"/>
  <c r="D31" i="13" s="1"/>
  <c r="F31" i="13"/>
  <c r="E15" i="13"/>
  <c r="D15" i="13" s="1" a="1"/>
  <c r="D15" i="13" s="1"/>
  <c r="F15" i="13"/>
  <c r="E5" i="13"/>
  <c r="D5" i="13" s="1" a="1"/>
  <c r="D5" i="13" s="1"/>
  <c r="F5" i="13"/>
  <c r="E24" i="13"/>
  <c r="D24" i="13" s="1" a="1"/>
  <c r="D24" i="13" s="1"/>
  <c r="F24" i="13"/>
  <c r="E18" i="13"/>
  <c r="D18" i="13" s="1" a="1"/>
  <c r="D18" i="13" s="1"/>
  <c r="F18" i="13"/>
  <c r="E6" i="13"/>
  <c r="D6" i="13" s="1" a="1"/>
  <c r="D6" i="13" s="1"/>
  <c r="F6" i="13"/>
  <c r="E10" i="13"/>
  <c r="D10" i="13" s="1" a="1"/>
  <c r="D10" i="13" s="1"/>
  <c r="F10" i="13"/>
  <c r="E7" i="13"/>
  <c r="D7" i="13" s="1" a="1"/>
  <c r="D7" i="13" s="1"/>
  <c r="F7" i="13"/>
  <c r="E21" i="13"/>
  <c r="D21" i="13" s="1" a="1"/>
  <c r="D21" i="13" s="1"/>
  <c r="F21" i="13"/>
  <c r="E28" i="13"/>
  <c r="D28" i="13" s="1" a="1"/>
  <c r="D28" i="13" s="1"/>
  <c r="F28" i="13"/>
  <c r="E12" i="13"/>
  <c r="D12" i="13" s="1" a="1"/>
  <c r="D12" i="13" s="1"/>
  <c r="F12" i="13"/>
  <c r="E22" i="13"/>
  <c r="D22" i="13" s="1" a="1"/>
  <c r="D22" i="13" s="1"/>
  <c r="F22" i="13"/>
  <c r="E27" i="13"/>
  <c r="D27" i="13" s="1" a="1"/>
  <c r="D27" i="13" s="1"/>
  <c r="F27" i="13"/>
  <c r="E11" i="13"/>
  <c r="D11" i="13" s="1" a="1"/>
  <c r="D11" i="13" s="1"/>
  <c r="F11" i="13"/>
  <c r="E3" i="13"/>
  <c r="D3" i="13" s="1" a="1"/>
  <c r="D3" i="13" s="1"/>
  <c r="F3" i="13"/>
  <c r="D33" i="13" a="1"/>
  <c r="D33" i="13" s="1"/>
  <c r="AN9" i="11"/>
  <c r="AP9" i="11" l="1"/>
  <c r="AR9" i="11" s="1"/>
  <c r="AT7" i="11" a="1"/>
  <c r="AT7" i="11" s="1"/>
  <c r="AE7" i="11"/>
  <c r="AG7" i="11" s="1"/>
  <c r="AG8" i="11" s="1"/>
  <c r="AD9" i="11" l="1"/>
  <c r="AE9" i="11" s="1"/>
  <c r="AG9" i="11" s="1"/>
  <c r="AG10" i="11" s="1"/>
  <c r="AG11" i="11" s="1"/>
  <c r="AG12" i="11" l="1"/>
  <c r="AI7" i="11" s="1" a="1"/>
  <c r="AI7" i="11" s="1"/>
  <c r="O9" i="1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<sst xmlns="http://schemas.openxmlformats.org/spreadsheetml/2006/main" count="294" uniqueCount="92">
  <si>
    <t>MÊS</t>
  </si>
  <si>
    <t>DIA</t>
  </si>
  <si>
    <t>ANO</t>
  </si>
  <si>
    <t>DESCRIÇÃO</t>
  </si>
  <si>
    <t>TRABALHO</t>
  </si>
  <si>
    <t>LASER</t>
  </si>
  <si>
    <t>ROUPA</t>
  </si>
  <si>
    <t>REMÉDIO</t>
  </si>
  <si>
    <t>FARMÁCIA</t>
  </si>
  <si>
    <t>HIGIENE</t>
  </si>
  <si>
    <t>COMPUTADOR</t>
  </si>
  <si>
    <t>JOGO</t>
  </si>
  <si>
    <t>COMIDA</t>
  </si>
  <si>
    <t>OUTRO</t>
  </si>
  <si>
    <t>ACESSÓRIO</t>
  </si>
  <si>
    <t>CORPO</t>
  </si>
  <si>
    <t>INTERNET</t>
  </si>
  <si>
    <t>MOTO</t>
  </si>
  <si>
    <t>CONTAS</t>
  </si>
  <si>
    <t>TRANSPORTE</t>
  </si>
  <si>
    <t>UBER</t>
  </si>
  <si>
    <t>ÍNTIMA</t>
  </si>
  <si>
    <t>PÚBLICO</t>
  </si>
  <si>
    <t>PARCELAS</t>
  </si>
  <si>
    <t>SALÁRIO</t>
  </si>
  <si>
    <t>VALOR</t>
  </si>
  <si>
    <t>QTDE</t>
  </si>
  <si>
    <t>TIPO</t>
  </si>
  <si>
    <t>E / S</t>
  </si>
  <si>
    <t>ENTRADA</t>
  </si>
  <si>
    <t>DATA</t>
  </si>
  <si>
    <t>SAÍDA</t>
  </si>
  <si>
    <t>MERCADO</t>
  </si>
  <si>
    <t>VIAGEM</t>
  </si>
  <si>
    <t>PRESENTE</t>
  </si>
  <si>
    <t>RECARGA</t>
  </si>
  <si>
    <t>DÍVIDAS</t>
  </si>
  <si>
    <t>OUTROS</t>
  </si>
  <si>
    <t>ALMOÇO/JANTA</t>
  </si>
  <si>
    <t>COMIDA/BEBIDA</t>
  </si>
  <si>
    <t>RANCHO</t>
  </si>
  <si>
    <t>OBSERVAÇÃO</t>
  </si>
  <si>
    <t>SALDO</t>
  </si>
  <si>
    <t>VALOR FINAL</t>
  </si>
  <si>
    <t>TAXAÇÃO</t>
  </si>
  <si>
    <t>MÊS / ANO</t>
  </si>
  <si>
    <t>MÁX</t>
  </si>
  <si>
    <t>JOGOS</t>
  </si>
  <si>
    <t>MÍN</t>
  </si>
  <si>
    <t>CELULAR</t>
  </si>
  <si>
    <t>TOTAIS</t>
  </si>
  <si>
    <t>MÁXIMOS</t>
  </si>
  <si>
    <t>CRÉDITO</t>
  </si>
  <si>
    <t>DÉBITO</t>
  </si>
  <si>
    <t>DINHEIRO</t>
  </si>
  <si>
    <t>DATAS</t>
  </si>
  <si>
    <t>LAZER</t>
  </si>
  <si>
    <t>FREELANCE</t>
  </si>
  <si>
    <t>VENDA GABINETE</t>
  </si>
  <si>
    <t>+ PREVISTO FEV.</t>
  </si>
  <si>
    <t>PLANO</t>
  </si>
  <si>
    <t>VALOR TOTAL</t>
  </si>
  <si>
    <t>VEZES</t>
  </si>
  <si>
    <t>ACOMPANHAMENTO</t>
  </si>
  <si>
    <t>PIX</t>
  </si>
  <si>
    <t>METHOD</t>
  </si>
  <si>
    <t>TIPO_DESC</t>
  </si>
  <si>
    <t>FORMA_PAG</t>
  </si>
  <si>
    <t>CARTÃO VR</t>
  </si>
  <si>
    <t>MESES</t>
  </si>
  <si>
    <t>JANEIRO</t>
  </si>
  <si>
    <t>FEVEREIRO</t>
  </si>
  <si>
    <t>MARÇO</t>
  </si>
  <si>
    <t>ABRIL</t>
  </si>
  <si>
    <t>MAIO</t>
  </si>
  <si>
    <t>JUNHO</t>
  </si>
  <si>
    <t>JULHO</t>
  </si>
  <si>
    <t>AGOSTO</t>
  </si>
  <si>
    <t>SETEMBRO</t>
  </si>
  <si>
    <t>OUTUBRO</t>
  </si>
  <si>
    <t>NOVEMBRO</t>
  </si>
  <si>
    <t>DEZEMBRO</t>
  </si>
  <si>
    <t>SELEC.</t>
  </si>
  <si>
    <t>ANOS</t>
  </si>
  <si>
    <t>PAGAMENTO</t>
  </si>
  <si>
    <t>MOVIMENTAÇÃO</t>
  </si>
  <si>
    <t>SALDO PREV. PRÓX MÊS</t>
  </si>
  <si>
    <t>-</t>
  </si>
  <si>
    <t>PAGO (R$)</t>
  </si>
  <si>
    <t>PAGO (N°)</t>
  </si>
  <si>
    <t>FALT. (N°)</t>
  </si>
  <si>
    <t>PARCELAS (REAL)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</si>
</sst>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R$&quot;\ * #,##0.00_-;\-&quot;R$&quot;\ * #,##0.00_-;_-&quot;R$&quot;\ * &quot;-&quot;??_-;_-@_-"/>
    <numFmt numFmtId="164" formatCode="&quot;R$&quot;\ #,##0.00;\-&quot;R$&quot;\ #,##0.00;"/>
    <numFmt numFmtId="165" formatCode="\×\ 0"/>
    <numFmt numFmtId="166" formatCode="mmmm"/>
    <numFmt numFmtId="167" formatCode="\+\ #,##0;\-\ #,##0;"/>
    <numFmt numFmtId="168" formatCode="\+\ #,##0.00;\-\ #,##0.00;"/>
    <numFmt numFmtId="169" formatCode="\×\ 0;\×\ 0;\♾"/>
    <numFmt numFmtId="170" formatCode="#,##0.00;\-#,##0.00;\●\●\●\●"/>
  </numFmts>
  <fonts count="8" x14ac:knownFonts="1">
    <font>
      <sz val="11"/>
      <color theme="1"/>
      <name val="Calibri"/>
      <family val="2"/>
    </font>
    <font>
      <sz val="11"/>
      <color theme="1"/>
      <name val="Calibri"/>
      <family val="2"/>
    </font>
    <font>
      <b/>
      <sz val="11"/>
      <color theme="0"/>
      <name val="Calibri"/>
      <family val="2"/>
    </font>
    <font>
      <sz val="11"/>
      <color theme="0"/>
      <name val="Calibri"/>
      <family val="2"/>
    </font>
    <font>
      <sz val="11"/>
      <color theme="4" tint="-0.499984740745262"/>
      <name val="Calibri"/>
      <family val="2"/>
    </font>
    <font>
      <sz val="8"/>
      <name val="Calibri"/>
      <family val="2"/>
    </font>
    <font>
      <sz val="48"/>
      <color theme="0"/>
      <name val="Times New Roman"/>
      <family val="1"/>
    </font>
    <font>
      <sz val="48"/>
      <color theme="4" tint="-0.499984740745262"/>
      <name val="Calibri"/>
      <family val="2"/>
    </font>
  </fonts>
  <fills count="14">
    <fill>
      <patternFill patternType="none"/>
    </fill>
    <fill>
      <patternFill patternType="gray125"/>
    </fill>
    <fill>
      <patternFill patternType="solid">
        <fgColor theme="4" tint="-0.49998474074526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rgb="FF1D1D1D"/>
        <bgColor indexed="64"/>
      </patternFill>
    </fill>
    <fill>
      <patternFill patternType="solid">
        <fgColor theme="0" tint="-4.9989318521683403E-2"/>
        <bgColor indexed="64"/>
      </patternFill>
    </fill>
    <fill>
      <patternFill patternType="solid">
        <fgColor theme="0"/>
        <bgColor indexed="64"/>
      </patternFill>
    </fill>
    <fill>
      <patternFill patternType="solid">
        <fgColor rgb="FFC00000"/>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0"/>
        <bgColor theme="4" tint="0.79998168889431442"/>
      </patternFill>
    </fill>
    <fill>
      <patternFill patternType="solid">
        <fgColor theme="0" tint="-0.249977111117893"/>
        <bgColor indexed="64"/>
      </patternFill>
    </fill>
  </fills>
  <borders count="7">
    <border>
      <left/>
      <right/>
      <top/>
      <bottom/>
      <diagonal/>
    </border>
    <border>
      <left/>
      <right/>
      <top style="medium">
        <color theme="1"/>
      </top>
      <bottom style="medium">
        <color theme="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top style="medium">
        <color theme="1"/>
      </top>
      <bottom/>
      <diagonal/>
    </border>
  </borders>
  <cellStyleXfs count="2">
    <xf numFmtId="0" fontId="0" fillId="0" borderId="0"/>
    <xf numFmtId="44" fontId="1" fillId="0" borderId="0" applyFont="0" applyFill="0" applyBorder="0" applyAlignment="0" applyProtection="0"/>
  </cellStyleXfs>
  <cellXfs count="107">
    <xf numFmtId="0" fontId="0" fillId="0" borderId="0" xfId="0"/>
    <xf numFmtId="0" fontId="0" fillId="0" borderId="0" xfId="0" applyFill="1"/>
    <xf numFmtId="0" fontId="4" fillId="0" borderId="0" xfId="0" applyFont="1" applyFill="1"/>
    <xf numFmtId="0" fontId="3" fillId="3" borderId="0" xfId="0" applyFont="1" applyFill="1"/>
    <xf numFmtId="0" fontId="3" fillId="4" borderId="0" xfId="0" applyFont="1" applyFill="1" applyAlignment="1">
      <alignment horizontal="center" vertical="center"/>
    </xf>
    <xf numFmtId="164" fontId="0" fillId="0" borderId="0" xfId="1" applyNumberFormat="1" applyFont="1"/>
    <xf numFmtId="0" fontId="3" fillId="0" borderId="0" xfId="0" applyFont="1" applyFill="1" applyAlignment="1">
      <alignment horizontal="center" vertical="center"/>
    </xf>
    <xf numFmtId="1" fontId="4" fillId="0" borderId="0" xfId="0" applyNumberFormat="1" applyFont="1" applyFill="1"/>
    <xf numFmtId="1" fontId="3" fillId="3" borderId="0" xfId="0" applyNumberFormat="1" applyFont="1" applyFill="1" applyAlignment="1">
      <alignment horizontal="center"/>
    </xf>
    <xf numFmtId="1" fontId="0" fillId="0" borderId="0" xfId="0" applyNumberFormat="1" applyFill="1"/>
    <xf numFmtId="1" fontId="3" fillId="3" borderId="0" xfId="0" applyNumberFormat="1" applyFont="1" applyFill="1"/>
    <xf numFmtId="1" fontId="3" fillId="0" borderId="0" xfId="0" applyNumberFormat="1" applyFont="1" applyFill="1" applyAlignment="1">
      <alignment horizontal="center"/>
    </xf>
    <xf numFmtId="14" fontId="3" fillId="2" borderId="0" xfId="1" applyNumberFormat="1" applyFont="1" applyFill="1" applyBorder="1" applyAlignment="1">
      <alignment horizontal="center"/>
    </xf>
    <xf numFmtId="165" fontId="4" fillId="0" borderId="0" xfId="0" applyNumberFormat="1" applyFont="1" applyFill="1" applyAlignment="1">
      <alignment horizontal="center"/>
    </xf>
    <xf numFmtId="165" fontId="3" fillId="3" borderId="0" xfId="0" applyNumberFormat="1" applyFont="1" applyFill="1" applyAlignment="1">
      <alignment horizontal="center"/>
    </xf>
    <xf numFmtId="165" fontId="0" fillId="0" borderId="0" xfId="0" applyNumberFormat="1" applyFill="1" applyAlignment="1">
      <alignment horizontal="center"/>
    </xf>
    <xf numFmtId="1" fontId="3" fillId="3" borderId="0" xfId="1" applyNumberFormat="1" applyFont="1" applyFill="1" applyBorder="1" applyAlignment="1" applyProtection="1">
      <alignment horizontal="center"/>
      <protection locked="0"/>
    </xf>
    <xf numFmtId="1" fontId="3" fillId="5" borderId="0" xfId="0" applyNumberFormat="1" applyFont="1" applyFill="1" applyBorder="1" applyAlignment="1" applyProtection="1">
      <alignment horizontal="center"/>
      <protection locked="0"/>
    </xf>
    <xf numFmtId="1" fontId="3" fillId="3" borderId="0" xfId="0" applyNumberFormat="1" applyFont="1" applyFill="1" applyBorder="1" applyAlignment="1" applyProtection="1">
      <alignment horizontal="center"/>
      <protection locked="0"/>
    </xf>
    <xf numFmtId="165" fontId="0" fillId="0" borderId="2" xfId="1" applyNumberFormat="1" applyFont="1" applyFill="1" applyBorder="1" applyAlignment="1" applyProtection="1">
      <alignment horizontal="center"/>
      <protection locked="0"/>
    </xf>
    <xf numFmtId="4" fontId="4" fillId="0" borderId="0" xfId="0" applyNumberFormat="1" applyFont="1" applyFill="1" applyAlignment="1">
      <alignment horizontal="right" indent="1"/>
    </xf>
    <xf numFmtId="4" fontId="3" fillId="3" borderId="0" xfId="0" applyNumberFormat="1" applyFont="1" applyFill="1" applyAlignment="1">
      <alignment horizontal="right" indent="1"/>
    </xf>
    <xf numFmtId="4" fontId="0" fillId="0" borderId="0" xfId="0" applyNumberFormat="1" applyFill="1" applyAlignment="1">
      <alignment horizontal="right" indent="1"/>
    </xf>
    <xf numFmtId="4" fontId="0" fillId="0" borderId="2" xfId="1" applyNumberFormat="1" applyFont="1" applyFill="1" applyBorder="1" applyAlignment="1" applyProtection="1">
      <alignment horizontal="right" indent="1"/>
      <protection locked="0"/>
    </xf>
    <xf numFmtId="49" fontId="4" fillId="0" borderId="0" xfId="0" applyNumberFormat="1" applyFont="1" applyFill="1"/>
    <xf numFmtId="49" fontId="3" fillId="3" borderId="0" xfId="0" applyNumberFormat="1" applyFont="1" applyFill="1"/>
    <xf numFmtId="49" fontId="0" fillId="0" borderId="0" xfId="0" applyNumberFormat="1" applyFill="1"/>
    <xf numFmtId="49" fontId="0" fillId="0" borderId="2" xfId="0" applyNumberFormat="1" applyFill="1" applyBorder="1" applyProtection="1">
      <protection locked="0"/>
    </xf>
    <xf numFmtId="49" fontId="0" fillId="0" borderId="2" xfId="1" applyNumberFormat="1" applyFont="1" applyFill="1" applyBorder="1" applyProtection="1">
      <protection locked="0"/>
    </xf>
    <xf numFmtId="49" fontId="3" fillId="2" borderId="0" xfId="0" applyNumberFormat="1" applyFont="1" applyFill="1" applyBorder="1" applyAlignment="1" applyProtection="1">
      <alignment horizontal="center"/>
      <protection locked="0"/>
    </xf>
    <xf numFmtId="49" fontId="0" fillId="0" borderId="2" xfId="1" applyNumberFormat="1" applyFont="1" applyFill="1" applyBorder="1" applyAlignment="1" applyProtection="1">
      <alignment horizontal="left" indent="1"/>
      <protection locked="0"/>
    </xf>
    <xf numFmtId="4" fontId="0" fillId="0" borderId="2" xfId="1" applyNumberFormat="1" applyFont="1" applyBorder="1" applyAlignment="1">
      <alignment horizontal="right" indent="1"/>
    </xf>
    <xf numFmtId="1" fontId="2" fillId="4" borderId="1" xfId="0" applyNumberFormat="1" applyFont="1" applyFill="1" applyBorder="1" applyAlignment="1">
      <alignment horizontal="center" vertical="center"/>
    </xf>
    <xf numFmtId="49" fontId="2" fillId="4" borderId="1" xfId="0" applyNumberFormat="1" applyFont="1" applyFill="1" applyBorder="1" applyAlignment="1">
      <alignment horizontal="center" vertical="center"/>
    </xf>
    <xf numFmtId="4" fontId="2" fillId="4" borderId="1" xfId="0" applyNumberFormat="1" applyFont="1" applyFill="1" applyBorder="1" applyAlignment="1">
      <alignment horizontal="center" vertical="center"/>
    </xf>
    <xf numFmtId="1" fontId="3" fillId="5" borderId="0" xfId="0" applyNumberFormat="1" applyFont="1" applyFill="1" applyBorder="1" applyAlignment="1">
      <alignment horizontal="center"/>
    </xf>
    <xf numFmtId="1" fontId="3" fillId="3" borderId="0" xfId="0" applyNumberFormat="1" applyFont="1" applyFill="1" applyBorder="1" applyAlignment="1">
      <alignment horizontal="center"/>
    </xf>
    <xf numFmtId="49" fontId="0" fillId="0" borderId="2" xfId="0" applyNumberFormat="1" applyFont="1" applyBorder="1"/>
    <xf numFmtId="49" fontId="0" fillId="0" borderId="2" xfId="1" applyNumberFormat="1" applyFont="1" applyBorder="1"/>
    <xf numFmtId="49" fontId="0" fillId="6" borderId="3" xfId="0" applyNumberFormat="1" applyFill="1" applyBorder="1" applyProtection="1">
      <protection locked="0"/>
    </xf>
    <xf numFmtId="49" fontId="0" fillId="6" borderId="3" xfId="1" applyNumberFormat="1" applyFont="1" applyFill="1" applyBorder="1" applyProtection="1">
      <protection locked="0"/>
    </xf>
    <xf numFmtId="165" fontId="0" fillId="6" borderId="3" xfId="1" applyNumberFormat="1" applyFont="1" applyFill="1" applyBorder="1" applyAlignment="1" applyProtection="1">
      <alignment horizontal="center"/>
      <protection locked="0"/>
    </xf>
    <xf numFmtId="4" fontId="0" fillId="6" borderId="3" xfId="1" applyNumberFormat="1" applyFont="1" applyFill="1" applyBorder="1" applyAlignment="1" applyProtection="1">
      <alignment horizontal="right" indent="1"/>
      <protection locked="0"/>
    </xf>
    <xf numFmtId="49" fontId="0" fillId="6" borderId="3" xfId="1" applyNumberFormat="1" applyFont="1" applyFill="1" applyBorder="1" applyAlignment="1" applyProtection="1">
      <alignment horizontal="left" indent="1"/>
      <protection locked="0"/>
    </xf>
    <xf numFmtId="49" fontId="0" fillId="6" borderId="3" xfId="0" applyNumberFormat="1" applyFont="1" applyFill="1" applyBorder="1"/>
    <xf numFmtId="49" fontId="0" fillId="6" borderId="3" xfId="1" applyNumberFormat="1" applyFont="1" applyFill="1" applyBorder="1"/>
    <xf numFmtId="4" fontId="0" fillId="6" borderId="3" xfId="1" applyNumberFormat="1" applyFont="1" applyFill="1" applyBorder="1" applyAlignment="1">
      <alignment horizontal="right" indent="1"/>
    </xf>
    <xf numFmtId="4" fontId="0" fillId="0" borderId="0" xfId="0" applyNumberFormat="1"/>
    <xf numFmtId="49" fontId="0" fillId="6" borderId="3" xfId="0" applyNumberFormat="1" applyFont="1" applyFill="1" applyBorder="1" applyAlignment="1"/>
    <xf numFmtId="49" fontId="0" fillId="6" borderId="3" xfId="1" applyNumberFormat="1" applyFont="1" applyFill="1" applyBorder="1" applyAlignment="1"/>
    <xf numFmtId="14" fontId="0" fillId="0" borderId="0" xfId="0" applyNumberFormat="1"/>
    <xf numFmtId="3" fontId="2" fillId="4" borderId="1" xfId="0" applyNumberFormat="1" applyFont="1" applyFill="1" applyBorder="1" applyAlignment="1">
      <alignment horizontal="center" vertical="center"/>
    </xf>
    <xf numFmtId="166" fontId="0" fillId="0" borderId="0" xfId="0" applyNumberFormat="1"/>
    <xf numFmtId="4" fontId="0" fillId="6" borderId="2" xfId="1" applyNumberFormat="1" applyFont="1" applyFill="1" applyBorder="1" applyAlignment="1" applyProtection="1">
      <alignment horizontal="right" indent="1"/>
      <protection locked="0"/>
    </xf>
    <xf numFmtId="167" fontId="4" fillId="0" borderId="0" xfId="0" applyNumberFormat="1" applyFont="1" applyFill="1"/>
    <xf numFmtId="167" fontId="3" fillId="3" borderId="0" xfId="0" applyNumberFormat="1" applyFont="1" applyFill="1"/>
    <xf numFmtId="167" fontId="0" fillId="0" borderId="0" xfId="0" applyNumberFormat="1" applyFill="1"/>
    <xf numFmtId="167" fontId="0" fillId="0" borderId="0" xfId="0" applyNumberFormat="1"/>
    <xf numFmtId="49" fontId="3" fillId="6" borderId="0" xfId="0" applyNumberFormat="1" applyFont="1" applyFill="1" applyBorder="1" applyAlignment="1" applyProtection="1">
      <alignment horizontal="center"/>
      <protection locked="0"/>
    </xf>
    <xf numFmtId="168" fontId="0" fillId="6" borderId="3" xfId="1" applyNumberFormat="1" applyFont="1" applyFill="1" applyBorder="1" applyAlignment="1" applyProtection="1">
      <alignment horizontal="right" indent="1"/>
      <protection locked="0"/>
    </xf>
    <xf numFmtId="168" fontId="0" fillId="7" borderId="3" xfId="1" applyNumberFormat="1" applyFont="1" applyFill="1" applyBorder="1" applyAlignment="1" applyProtection="1">
      <alignment horizontal="right" indent="1"/>
      <protection locked="0"/>
    </xf>
    <xf numFmtId="4" fontId="2" fillId="4" borderId="0" xfId="0" quotePrefix="1" applyNumberFormat="1" applyFont="1" applyFill="1" applyBorder="1" applyAlignment="1">
      <alignment horizontal="center" vertical="center"/>
    </xf>
    <xf numFmtId="0" fontId="4" fillId="0" borderId="0" xfId="0" applyFont="1" applyFill="1" applyAlignment="1">
      <alignment horizontal="center"/>
    </xf>
    <xf numFmtId="0" fontId="3" fillId="3" borderId="0" xfId="0" applyFont="1" applyFill="1" applyAlignment="1">
      <alignment horizontal="center"/>
    </xf>
    <xf numFmtId="0" fontId="0" fillId="0" borderId="0" xfId="0" applyFill="1" applyAlignment="1">
      <alignment horizontal="center"/>
    </xf>
    <xf numFmtId="49" fontId="3" fillId="2" borderId="0" xfId="0" applyNumberFormat="1" applyFont="1" applyFill="1" applyBorder="1" applyAlignment="1">
      <alignment horizontal="center"/>
    </xf>
    <xf numFmtId="0" fontId="0" fillId="0" borderId="0" xfId="0" applyAlignment="1">
      <alignment horizontal="center"/>
    </xf>
    <xf numFmtId="49" fontId="0" fillId="6" borderId="3" xfId="0" applyNumberFormat="1" applyFill="1" applyBorder="1" applyAlignment="1" applyProtection="1">
      <alignment horizontal="center"/>
      <protection locked="0"/>
    </xf>
    <xf numFmtId="49" fontId="0" fillId="7" borderId="3" xfId="0" applyNumberFormat="1" applyFill="1" applyBorder="1" applyAlignment="1" applyProtection="1">
      <alignment horizontal="center"/>
      <protection locked="0"/>
    </xf>
    <xf numFmtId="4" fontId="0" fillId="7" borderId="2" xfId="1" applyNumberFormat="1" applyFont="1" applyFill="1" applyBorder="1" applyAlignment="1" applyProtection="1">
      <alignment horizontal="right" indent="1"/>
      <protection locked="0"/>
    </xf>
    <xf numFmtId="169" fontId="4" fillId="0" borderId="0" xfId="0" applyNumberFormat="1" applyFont="1" applyFill="1"/>
    <xf numFmtId="169" fontId="3" fillId="3" borderId="0" xfId="0" applyNumberFormat="1" applyFont="1" applyFill="1"/>
    <xf numFmtId="169" fontId="0" fillId="0" borderId="0" xfId="0" applyNumberFormat="1" applyFill="1"/>
    <xf numFmtId="169" fontId="0" fillId="6" borderId="3" xfId="1" applyNumberFormat="1" applyFont="1" applyFill="1" applyBorder="1" applyAlignment="1" applyProtection="1">
      <alignment horizontal="center"/>
      <protection locked="0"/>
    </xf>
    <xf numFmtId="169" fontId="0" fillId="7" borderId="3" xfId="1" applyNumberFormat="1" applyFont="1" applyFill="1" applyBorder="1" applyAlignment="1" applyProtection="1">
      <alignment horizontal="center"/>
      <protection locked="0"/>
    </xf>
    <xf numFmtId="169" fontId="0" fillId="0" borderId="0" xfId="0" applyNumberFormat="1"/>
    <xf numFmtId="49" fontId="3" fillId="3" borderId="0" xfId="0" applyNumberFormat="1" applyFont="1" applyFill="1" applyBorder="1" applyAlignment="1">
      <alignment horizontal="center"/>
    </xf>
    <xf numFmtId="0" fontId="4" fillId="2" borderId="0" xfId="0" applyFont="1" applyFill="1" applyAlignment="1">
      <alignment vertical="center"/>
    </xf>
    <xf numFmtId="0" fontId="0" fillId="11" borderId="5" xfId="0" applyFont="1" applyFill="1" applyBorder="1"/>
    <xf numFmtId="0" fontId="0" fillId="0" borderId="5" xfId="0" applyFont="1" applyBorder="1"/>
    <xf numFmtId="4" fontId="2" fillId="4" borderId="6" xfId="0" applyNumberFormat="1" applyFont="1" applyFill="1" applyBorder="1" applyAlignment="1">
      <alignment horizontal="center" vertical="center"/>
    </xf>
    <xf numFmtId="0" fontId="0" fillId="12" borderId="5" xfId="0" applyFont="1" applyFill="1" applyBorder="1"/>
    <xf numFmtId="168" fontId="0" fillId="13" borderId="3" xfId="1" applyNumberFormat="1" applyFont="1" applyFill="1" applyBorder="1" applyAlignment="1" applyProtection="1">
      <alignment horizontal="right" indent="1"/>
      <protection locked="0"/>
    </xf>
    <xf numFmtId="4" fontId="0" fillId="13" borderId="2" xfId="1" applyNumberFormat="1" applyFont="1" applyFill="1" applyBorder="1" applyAlignment="1" applyProtection="1">
      <alignment horizontal="right" indent="1"/>
      <protection locked="0"/>
    </xf>
    <xf numFmtId="0" fontId="7" fillId="2" borderId="0" xfId="0" applyFont="1" applyFill="1" applyAlignment="1">
      <alignment vertical="center"/>
    </xf>
    <xf numFmtId="1" fontId="0" fillId="0" borderId="0" xfId="0" applyNumberFormat="1"/>
    <xf numFmtId="1" fontId="0" fillId="7" borderId="2" xfId="1" applyNumberFormat="1" applyFont="1" applyFill="1" applyBorder="1" applyAlignment="1" applyProtection="1">
      <alignment horizontal="right" indent="1"/>
      <protection locked="0"/>
    </xf>
    <xf numFmtId="1" fontId="0" fillId="6" borderId="2" xfId="1" applyNumberFormat="1" applyFont="1" applyFill="1" applyBorder="1" applyAlignment="1" applyProtection="1">
      <alignment horizontal="right" indent="1"/>
      <protection locked="0"/>
    </xf>
    <xf numFmtId="0" fontId="4" fillId="0" borderId="0" xfId="0" applyNumberFormat="1" applyFont="1" applyFill="1"/>
    <xf numFmtId="0" fontId="3" fillId="3" borderId="0" xfId="0" applyNumberFormat="1" applyFont="1" applyFill="1"/>
    <xf numFmtId="0" fontId="0" fillId="0" borderId="0" xfId="0" applyNumberFormat="1" applyFill="1"/>
    <xf numFmtId="0" fontId="0" fillId="6" borderId="3" xfId="1" applyNumberFormat="1" applyFont="1" applyFill="1" applyBorder="1" applyAlignment="1" applyProtection="1">
      <alignment horizontal="left" indent="1"/>
      <protection locked="0"/>
    </xf>
    <xf numFmtId="0" fontId="0" fillId="0" borderId="2" xfId="1" applyNumberFormat="1" applyFont="1" applyFill="1" applyBorder="1" applyAlignment="1" applyProtection="1">
      <alignment horizontal="left" indent="1"/>
      <protection locked="0"/>
    </xf>
    <xf numFmtId="0" fontId="0" fillId="0" borderId="0" xfId="0" applyNumberFormat="1"/>
    <xf numFmtId="49" fontId="0" fillId="7" borderId="3" xfId="0" applyNumberFormat="1" applyFill="1" applyBorder="1" applyProtection="1">
      <protection locked="0"/>
    </xf>
    <xf numFmtId="49" fontId="0" fillId="7" borderId="3" xfId="1" applyNumberFormat="1" applyFont="1" applyFill="1" applyBorder="1" applyProtection="1">
      <protection locked="0"/>
    </xf>
    <xf numFmtId="0" fontId="0" fillId="7" borderId="3" xfId="1" applyNumberFormat="1" applyFont="1" applyFill="1" applyBorder="1" applyAlignment="1" applyProtection="1">
      <alignment horizontal="left" indent="1"/>
      <protection locked="0"/>
    </xf>
    <xf numFmtId="4" fontId="2" fillId="8" borderId="1" xfId="0" applyNumberFormat="1" applyFont="1" applyFill="1" applyBorder="1" applyAlignment="1">
      <alignment horizontal="center" vertical="center"/>
    </xf>
    <xf numFmtId="0" fontId="2" fillId="8" borderId="1" xfId="0" applyNumberFormat="1" applyFont="1" applyFill="1" applyBorder="1" applyAlignment="1">
      <alignment horizontal="center" vertical="center"/>
    </xf>
    <xf numFmtId="4" fontId="2" fillId="10" borderId="1" xfId="0" applyNumberFormat="1" applyFont="1" applyFill="1" applyBorder="1" applyAlignment="1">
      <alignment horizontal="center" vertical="center"/>
    </xf>
    <xf numFmtId="1" fontId="2" fillId="10" borderId="1" xfId="0" applyNumberFormat="1" applyFont="1" applyFill="1" applyBorder="1" applyAlignment="1">
      <alignment horizontal="center" vertical="center"/>
    </xf>
    <xf numFmtId="4" fontId="2" fillId="9" borderId="1" xfId="0" applyNumberFormat="1" applyFont="1" applyFill="1" applyBorder="1" applyAlignment="1">
      <alignment horizontal="center" vertical="center"/>
    </xf>
    <xf numFmtId="0" fontId="0" fillId="0" borderId="0" xfId="0" applyAlignment="1">
      <alignment horizontal="right"/>
    </xf>
    <xf numFmtId="170" fontId="0" fillId="0" borderId="4" xfId="1" applyNumberFormat="1" applyFont="1" applyBorder="1" applyAlignment="1">
      <alignment horizontal="right" indent="1"/>
    </xf>
    <xf numFmtId="0" fontId="6" fillId="8" borderId="0" xfId="0" applyFont="1" applyFill="1" applyAlignment="1">
      <alignment horizontal="center" vertical="center"/>
    </xf>
    <xf numFmtId="0" fontId="6" fillId="10" borderId="0" xfId="0" applyFont="1" applyFill="1" applyAlignment="1">
      <alignment horizontal="center" vertical="center"/>
    </xf>
    <xf numFmtId="0" fontId="6" fillId="9" borderId="0" xfId="0" applyFont="1" applyFill="1" applyAlignment="1">
      <alignment horizontal="center" vertical="center"/>
    </xf>
  </cellXfs>
  <cellStyles count="2">
    <cellStyle name="Moeda" xfId="1" builtinId="4"/>
    <cellStyle name="Normal" xfId="0" builtinId="0"/>
  </cellStyles>
  <dxfs count="23">
    <dxf>
      <fill>
        <patternFill>
          <bgColor rgb="FFCC0000"/>
        </patternFill>
      </fill>
    </dxf>
    <dxf>
      <fill>
        <patternFill>
          <bgColor theme="9" tint="-0.24994659260841701"/>
        </patternFill>
      </fill>
    </dxf>
    <dxf>
      <font>
        <b val="0"/>
        <i val="0"/>
        <strike val="0"/>
        <condense val="0"/>
        <extend val="0"/>
        <outline val="0"/>
        <shadow val="0"/>
        <u val="none"/>
        <vertAlign val="baseline"/>
        <sz val="11"/>
        <color theme="0"/>
        <name val="Calibri"/>
        <family val="2"/>
        <scheme val="none"/>
      </font>
      <fill>
        <patternFill patternType="solid">
          <fgColor indexed="64"/>
          <bgColor theme="4"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Calibri"/>
        <family val="2"/>
        <scheme val="none"/>
      </font>
      <fill>
        <patternFill patternType="solid">
          <fgColor indexed="64"/>
          <bgColor theme="4"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Calibri"/>
        <family val="2"/>
        <scheme val="none"/>
      </font>
      <fill>
        <patternFill patternType="solid">
          <fgColor indexed="64"/>
          <bgColor theme="4"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Calibri"/>
        <family val="2"/>
        <scheme val="none"/>
      </font>
      <fill>
        <patternFill patternType="solid">
          <fgColor indexed="64"/>
          <bgColor theme="4" tint="-0.249977111117893"/>
        </patternFill>
      </fill>
      <alignment horizontal="center" vertical="center" textRotation="0" wrapText="0" indent="0" justifyLastLine="0" shrinkToFit="0" readingOrder="0"/>
    </dxf>
    <dxf>
      <fill>
        <patternFill>
          <bgColor rgb="FFCC0000"/>
        </patternFill>
      </fill>
    </dxf>
    <dxf>
      <fill>
        <patternFill>
          <bgColor theme="9" tint="-0.24994659260841701"/>
        </patternFill>
      </fill>
    </dxf>
    <dxf>
      <fill>
        <patternFill>
          <bgColor rgb="FFCC0000"/>
        </patternFill>
      </fill>
    </dxf>
    <dxf>
      <fill>
        <patternFill>
          <bgColor theme="9" tint="-0.24994659260841701"/>
        </patternFill>
      </fill>
    </dxf>
    <dxf>
      <fill>
        <patternFill>
          <bgColor rgb="FFCC0000"/>
        </patternFill>
      </fill>
    </dxf>
    <dxf>
      <fill>
        <patternFill>
          <bgColor theme="9" tint="-0.24994659260841701"/>
        </patternFill>
      </fill>
    </dxf>
    <dxf>
      <fill>
        <patternFill>
          <bgColor rgb="FFCC0000"/>
        </patternFill>
      </fill>
    </dxf>
    <dxf>
      <fill>
        <patternFill>
          <bgColor theme="9" tint="-0.24994659260841701"/>
        </patternFill>
      </fill>
    </dxf>
    <dxf>
      <fill>
        <patternFill>
          <bgColor rgb="FFCC0000"/>
        </patternFill>
      </fill>
    </dxf>
    <dxf>
      <fill>
        <patternFill>
          <bgColor theme="9" tint="-0.24994659260841701"/>
        </patternFill>
      </fill>
    </dxf>
    <dxf>
      <fill>
        <patternFill patternType="solid">
          <fgColor theme="0" tint="-0.14996795556505021"/>
          <bgColor theme="0" tint="-4.9989318521683403E-2"/>
        </patternFill>
      </fill>
    </dxf>
    <dxf>
      <fill>
        <patternFill patternType="solid">
          <fgColor theme="0" tint="-0.14996795556505021"/>
          <bgColor theme="0" tint="-4.9989318521683403E-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border>
        <top style="medium">
          <color theme="1"/>
        </top>
        <bottom style="medium">
          <color theme="1"/>
        </bottom>
      </border>
    </dxf>
  </dxfs>
  <tableStyles count="1" defaultTableStyle="TableStyleMedium2" defaultPivotStyle="PivotStyleLight16">
    <tableStyle name="TableStyleMedium16 2" pivot="0" count="7" xr9:uid="{F7D24BFD-BF04-46B9-A686-4E091C1C93FA}">
      <tableStyleElement type="wholeTable" dxfId="22"/>
      <tableStyleElement type="headerRow" dxfId="21"/>
      <tableStyleElement type="totalRow" dxfId="20"/>
      <tableStyleElement type="firstColumn" dxfId="19"/>
      <tableStyleElement type="lastColumn" dxfId="18"/>
      <tableStyleElement type="firstRowStripe" dxfId="17"/>
      <tableStyleElement type="firstColumnStripe" dxfId="16"/>
    </tableStyle>
  </tableStyles>
  <colors>
    <mruColors>
      <color rgb="FF009644"/>
      <color rgb="FFE03850"/>
      <color rgb="FFCC0000"/>
      <color rgb="FFAC0000"/>
      <color rgb="FF1D1D1D"/>
      <color rgb="FFFB8421"/>
      <color rgb="FFD6A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2188624629767918E-3"/>
          <c:y val="9.1631782760017606E-3"/>
          <c:w val="0.98685919325673321"/>
          <c:h val="0.97182832326382684"/>
        </c:manualLayout>
      </c:layout>
      <c:doughnutChart>
        <c:varyColors val="1"/>
        <c:ser>
          <c:idx val="0"/>
          <c:order val="0"/>
          <c:dPt>
            <c:idx val="0"/>
            <c:bubble3D val="0"/>
            <c:spPr>
              <a:gradFill flip="none" rotWithShape="1">
                <a:gsLst>
                  <a:gs pos="100000">
                    <a:schemeClr val="tx1">
                      <a:lumMod val="95000"/>
                      <a:lumOff val="5000"/>
                    </a:schemeClr>
                  </a:gs>
                  <a:gs pos="0">
                    <a:schemeClr val="tx1">
                      <a:lumMod val="85000"/>
                      <a:lumOff val="15000"/>
                    </a:schemeClr>
                  </a:gs>
                </a:gsLst>
                <a:lin ang="18900000" scaled="1"/>
                <a:tileRect/>
              </a:gradFill>
              <a:ln w="19050">
                <a:noFill/>
              </a:ln>
              <a:effectLst/>
            </c:spPr>
            <c:extLst>
              <c:ext xmlns:c16="http://schemas.microsoft.com/office/drawing/2014/chart" uri="{C3380CC4-5D6E-409C-BE32-E72D297353CC}">
                <c16:uniqueId val="{00000001-002D-4F5B-87AA-4B360D064F8C}"/>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002D-4F5B-87AA-4B360D064F8C}"/>
              </c:ext>
            </c:extLst>
          </c:dPt>
          <c:dPt>
            <c:idx val="2"/>
            <c:bubble3D val="0"/>
            <c:spPr>
              <a:noFill/>
              <a:ln w="19050">
                <a:noFill/>
              </a:ln>
              <a:effectLst/>
            </c:spPr>
            <c:extLst>
              <c:ext xmlns:c16="http://schemas.microsoft.com/office/drawing/2014/chart" uri="{C3380CC4-5D6E-409C-BE32-E72D297353CC}">
                <c16:uniqueId val="{00000005-002D-4F5B-87AA-4B360D064F8C}"/>
              </c:ext>
            </c:extLst>
          </c:dPt>
          <c:cat>
            <c:strLit>
              <c:ptCount val="2"/>
              <c:pt idx="0">
                <c:v>out</c:v>
              </c:pt>
              <c:pt idx="1">
                <c:v>VAZIO</c:v>
              </c:pt>
            </c:strLit>
          </c:cat>
          <c:val>
            <c:numLit>
              <c:formatCode>General</c:formatCode>
              <c:ptCount val="3"/>
              <c:pt idx="0">
                <c:v>82.084101383785523</c:v>
              </c:pt>
              <c:pt idx="1">
                <c:v>17.915898616214477</c:v>
              </c:pt>
              <c:pt idx="2">
                <c:v>33.333333333333336</c:v>
              </c:pt>
            </c:numLit>
          </c:val>
          <c:extLst>
            <c:ext xmlns:c16="http://schemas.microsoft.com/office/drawing/2014/chart" uri="{C3380CC4-5D6E-409C-BE32-E72D297353CC}">
              <c16:uniqueId val="{00000006-002D-4F5B-87AA-4B360D064F8C}"/>
            </c:ext>
          </c:extLst>
        </c:ser>
        <c:dLbls>
          <c:showLegendKey val="0"/>
          <c:showVal val="0"/>
          <c:showCatName val="0"/>
          <c:showSerName val="0"/>
          <c:showPercent val="0"/>
          <c:showBubbleSize val="0"/>
          <c:showLeaderLines val="1"/>
        </c:dLbls>
        <c:firstSliceAng val="225"/>
        <c:holeSize val="65"/>
      </c:doughnutChart>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0.99444444444444446"/>
          <c:h val="0.98879550832220231"/>
        </c:manualLayout>
      </c:layout>
      <c:barChart>
        <c:barDir val="bar"/>
        <c:grouping val="clustered"/>
        <c:varyColors val="0"/>
        <c:ser>
          <c:idx val="1"/>
          <c:order val="0"/>
          <c:spPr>
            <a:solidFill>
              <a:schemeClr val="accent2"/>
            </a:solidFill>
            <a:ln>
              <a:noFill/>
            </a:ln>
            <a:effectLst/>
          </c:spPr>
          <c:invertIfNegative val="0"/>
          <c:dPt>
            <c:idx val="0"/>
            <c:invertIfNegative val="0"/>
            <c:bubble3D val="0"/>
            <c:spPr>
              <a:solidFill>
                <a:schemeClr val="bg1">
                  <a:lumMod val="85000"/>
                </a:schemeClr>
              </a:solidFill>
              <a:ln>
                <a:noFill/>
              </a:ln>
              <a:effectLst/>
            </c:spPr>
            <c:extLst>
              <c:ext xmlns:c16="http://schemas.microsoft.com/office/drawing/2014/chart" uri="{C3380CC4-5D6E-409C-BE32-E72D297353CC}">
                <c16:uniqueId val="{00000001-6591-47E9-B05F-0AB181D76485}"/>
              </c:ext>
            </c:extLst>
          </c:dPt>
          <c:val>
            <c:numLit>
              <c:formatCode>General</c:formatCode>
              <c:ptCount val="1"/>
              <c:pt idx="0">
                <c:v>1</c:v>
              </c:pt>
            </c:numLit>
          </c:val>
          <c:extLst>
            <c:ext xmlns:c16="http://schemas.microsoft.com/office/drawing/2014/chart" uri="{C3380CC4-5D6E-409C-BE32-E72D297353CC}">
              <c16:uniqueId val="{00000002-6591-47E9-B05F-0AB181D76485}"/>
            </c:ext>
          </c:extLst>
        </c:ser>
        <c:ser>
          <c:idx val="0"/>
          <c:order val="1"/>
          <c:tx>
            <c:v>out</c:v>
          </c:tx>
          <c:spPr>
            <a:solidFill>
              <a:srgbClr val="FFC000"/>
            </a:solidFill>
            <a:ln>
              <a:noFill/>
            </a:ln>
            <a:effectLst/>
          </c:spPr>
          <c:invertIfNegative val="0"/>
          <c:val>
            <c:numLit>
              <c:formatCode>General</c:formatCode>
              <c:ptCount val="1"/>
              <c:pt idx="0">
                <c:v>0.90433097596205037</c:v>
              </c:pt>
            </c:numLit>
          </c:val>
          <c:extLst>
            <c:ext xmlns:c16="http://schemas.microsoft.com/office/drawing/2014/chart" uri="{C3380CC4-5D6E-409C-BE32-E72D297353CC}">
              <c16:uniqueId val="{00000003-6591-47E9-B05F-0AB181D76485}"/>
            </c:ext>
          </c:extLst>
        </c:ser>
        <c:dLbls>
          <c:showLegendKey val="0"/>
          <c:showVal val="0"/>
          <c:showCatName val="0"/>
          <c:showSerName val="0"/>
          <c:showPercent val="0"/>
          <c:showBubbleSize val="0"/>
        </c:dLbls>
        <c:gapWidth val="0"/>
        <c:overlap val="100"/>
        <c:axId val="709428359"/>
        <c:axId val="709432951"/>
      </c:barChart>
      <c:catAx>
        <c:axId val="709428359"/>
        <c:scaling>
          <c:orientation val="minMax"/>
        </c:scaling>
        <c:delete val="1"/>
        <c:axPos val="l"/>
        <c:numFmt formatCode="General" sourceLinked="1"/>
        <c:majorTickMark val="out"/>
        <c:minorTickMark val="none"/>
        <c:tickLblPos val="nextTo"/>
        <c:crossAx val="709432951"/>
        <c:crosses val="autoZero"/>
        <c:auto val="1"/>
        <c:lblAlgn val="ctr"/>
        <c:lblOffset val="100"/>
        <c:noMultiLvlLbl val="0"/>
      </c:catAx>
      <c:valAx>
        <c:axId val="709432951"/>
        <c:scaling>
          <c:orientation val="minMax"/>
          <c:max val="1"/>
          <c:min val="0"/>
        </c:scaling>
        <c:delete val="1"/>
        <c:axPos val="b"/>
        <c:numFmt formatCode="General" sourceLinked="1"/>
        <c:majorTickMark val="out"/>
        <c:minorTickMark val="none"/>
        <c:tickLblPos val="nextTo"/>
        <c:crossAx val="709428359"/>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1"/>
          <c:order val="1"/>
          <c:tx>
            <c:strRef>
              <c:f>CHART!$D$2</c:f>
              <c:strCache>
                <c:ptCount val="1"/>
                <c:pt idx="0">
                  <c:v>SALDO</c:v>
                </c:pt>
              </c:strCache>
            </c:strRef>
          </c:tx>
          <c:spPr>
            <a:gradFill>
              <a:gsLst>
                <a:gs pos="0">
                  <a:schemeClr val="tx1">
                    <a:lumMod val="85000"/>
                    <a:lumOff val="15000"/>
                  </a:schemeClr>
                </a:gs>
                <a:gs pos="100000">
                  <a:schemeClr val="bg2">
                    <a:lumMod val="10000"/>
                  </a:schemeClr>
                </a:gs>
              </a:gsLst>
              <a:lin ang="5400000" scaled="1"/>
            </a:gradFill>
            <a:ln>
              <a:solidFill>
                <a:schemeClr val="bg2">
                  <a:lumMod val="10000"/>
                </a:schemeClr>
              </a:solidFill>
            </a:ln>
          </c:spPr>
          <c:invertIfNegative val="0"/>
          <c:cat>
            <c:numRef>
              <c:extLst>
                <c:ext xmlns:c15="http://schemas.microsoft.com/office/drawing/2012/chart" uri="{02D57815-91ED-43cb-92C2-25804820EDAC}">
                  <c15:fullRef>
                    <c15:sqref>CHART!$B$34</c15:sqref>
                  </c15:fullRef>
                </c:ext>
              </c:extLst>
              <c:f>CHART!$B$34</c:f>
              <c:numCache>
                <c:formatCode>@</c:formatCode>
                <c:ptCount val="1"/>
              </c:numCache>
            </c:numRef>
          </c:cat>
          <c:val>
            <c:numRef>
              <c:extLst>
                <c:ext xmlns:c15="http://schemas.microsoft.com/office/drawing/2012/chart" uri="{02D57815-91ED-43cb-92C2-25804820EDAC}">
                  <c15:fullRef>
                    <c15:sqref>CHART!$D$3:$D$34</c15:sqref>
                  </c15:fullRef>
                </c:ext>
              </c:extLst>
              <c:f>CHART!$D$3:$D$26</c:f>
              <c:numCache>
                <c:formatCode>#,##0.00</c:formatCode>
                <c:ptCount val="24"/>
                <c:pt idx="0">
                  <c:v>630</c:v>
                </c:pt>
                <c:pt idx="1">
                  <c:v>430</c:v>
                </c:pt>
                <c:pt idx="2">
                  <c:v>75</c:v>
                </c:pt>
                <c:pt idx="3">
                  <c:v>455</c:v>
                </c:pt>
                <c:pt idx="4">
                  <c:v>2475</c:v>
                </c:pt>
                <c:pt idx="5">
                  <c:v>2220</c:v>
                </c:pt>
                <c:pt idx="6">
                  <c:v>2064</c:v>
                </c:pt>
                <c:pt idx="7">
                  <c:v>1074</c:v>
                </c:pt>
                <c:pt idx="8">
                  <c:v>1136.31</c:v>
                </c:pt>
                <c:pt idx="9">
                  <c:v>1611.69</c:v>
                </c:pt>
                <c:pt idx="10">
                  <c:v>1621.69</c:v>
                </c:pt>
                <c:pt idx="11">
                  <c:v>2301.69</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extLst>
            <c:ext xmlns:c16="http://schemas.microsoft.com/office/drawing/2014/chart" uri="{C3380CC4-5D6E-409C-BE32-E72D297353CC}">
              <c16:uniqueId val="{00000003-7085-4191-B025-C717E328BAB5}"/>
            </c:ext>
          </c:extLst>
        </c:ser>
        <c:ser>
          <c:idx val="2"/>
          <c:order val="2"/>
          <c:tx>
            <c:strRef>
              <c:f>CHART!$E$2</c:f>
              <c:strCache>
                <c:ptCount val="1"/>
                <c:pt idx="0">
                  <c:v>MÁX</c:v>
                </c:pt>
              </c:strCache>
            </c:strRef>
          </c:tx>
          <c:spPr>
            <a:pattFill prst="wdUpDiag">
              <a:fgClr>
                <a:srgbClr val="009644"/>
              </a:fgClr>
              <a:bgClr>
                <a:schemeClr val="bg1"/>
              </a:bgClr>
            </a:pattFill>
            <a:ln>
              <a:solidFill>
                <a:srgbClr val="009644">
                  <a:alpha val="48000"/>
                </a:srgbClr>
              </a:solidFill>
            </a:ln>
          </c:spPr>
          <c:invertIfNegative val="0"/>
          <c:cat>
            <c:numRef>
              <c:extLst>
                <c:ext xmlns:c15="http://schemas.microsoft.com/office/drawing/2012/chart" uri="{02D57815-91ED-43cb-92C2-25804820EDAC}">
                  <c15:fullRef>
                    <c15:sqref>CHART!$B$34</c15:sqref>
                  </c15:fullRef>
                </c:ext>
              </c:extLst>
              <c:f>CHART!$B$34</c:f>
              <c:numCache>
                <c:formatCode>@</c:formatCode>
                <c:ptCount val="1"/>
              </c:numCache>
            </c:numRef>
          </c:cat>
          <c:val>
            <c:numRef>
              <c:extLst>
                <c:ext xmlns:c15="http://schemas.microsoft.com/office/drawing/2012/chart" uri="{02D57815-91ED-43cb-92C2-25804820EDAC}">
                  <c15:fullRef>
                    <c15:sqref>CHART!$E$3:$E$34</c15:sqref>
                  </c15:fullRef>
                </c:ext>
              </c:extLst>
              <c:f>CHART!$E$3:$E$26</c:f>
              <c:numCache>
                <c:formatCode>#,##0.00</c:formatCode>
                <c:ptCount val="24"/>
                <c:pt idx="0">
                  <c:v>0</c:v>
                </c:pt>
                <c:pt idx="1">
                  <c:v>0</c:v>
                </c:pt>
                <c:pt idx="2">
                  <c:v>0</c:v>
                </c:pt>
                <c:pt idx="3">
                  <c:v>2420</c:v>
                </c:pt>
                <c:pt idx="4">
                  <c:v>0</c:v>
                </c:pt>
                <c:pt idx="5">
                  <c:v>0</c:v>
                </c:pt>
                <c:pt idx="6">
                  <c:v>0</c:v>
                </c:pt>
                <c:pt idx="7">
                  <c:v>0</c:v>
                </c:pt>
                <c:pt idx="8">
                  <c:v>537.69000000000005</c:v>
                </c:pt>
                <c:pt idx="9">
                  <c:v>10</c:v>
                </c:pt>
                <c:pt idx="10">
                  <c:v>700</c:v>
                </c:pt>
                <c:pt idx="11">
                  <c:v>0</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extLst>
            <c:ext xmlns:c16="http://schemas.microsoft.com/office/drawing/2014/chart" uri="{C3380CC4-5D6E-409C-BE32-E72D297353CC}">
              <c16:uniqueId val="{00000004-7085-4191-B025-C717E328BAB5}"/>
            </c:ext>
          </c:extLst>
        </c:ser>
        <c:ser>
          <c:idx val="3"/>
          <c:order val="3"/>
          <c:tx>
            <c:strRef>
              <c:f>CHART!$F$2</c:f>
              <c:strCache>
                <c:ptCount val="1"/>
                <c:pt idx="0">
                  <c:v>MÍN</c:v>
                </c:pt>
              </c:strCache>
            </c:strRef>
          </c:tx>
          <c:spPr>
            <a:pattFill prst="wdDnDiag">
              <a:fgClr>
                <a:srgbClr val="E03850"/>
              </a:fgClr>
              <a:bgClr>
                <a:schemeClr val="bg1"/>
              </a:bgClr>
            </a:pattFill>
            <a:ln>
              <a:solidFill>
                <a:srgbClr val="E03850"/>
              </a:solidFill>
            </a:ln>
          </c:spPr>
          <c:invertIfNegative val="0"/>
          <c:dPt>
            <c:idx val="3"/>
            <c:invertIfNegative val="0"/>
            <c:bubble3D val="0"/>
            <c:spPr>
              <a:pattFill prst="wdDnDiag">
                <a:fgClr>
                  <a:srgbClr val="E03850"/>
                </a:fgClr>
                <a:bgClr>
                  <a:schemeClr val="bg1"/>
                </a:bgClr>
              </a:pattFill>
              <a:ln>
                <a:solidFill>
                  <a:srgbClr val="E03850">
                    <a:alpha val="48000"/>
                  </a:srgbClr>
                </a:solidFill>
              </a:ln>
            </c:spPr>
            <c:extLst>
              <c:ext xmlns:c16="http://schemas.microsoft.com/office/drawing/2014/chart" uri="{C3380CC4-5D6E-409C-BE32-E72D297353CC}">
                <c16:uniqueId val="{00000001-7085-4191-B025-C717E328BAB5}"/>
              </c:ext>
            </c:extLst>
          </c:dPt>
          <c:cat>
            <c:numRef>
              <c:extLst>
                <c:ext xmlns:c15="http://schemas.microsoft.com/office/drawing/2012/chart" uri="{02D57815-91ED-43cb-92C2-25804820EDAC}">
                  <c15:fullRef>
                    <c15:sqref>CHART!$B$34</c15:sqref>
                  </c15:fullRef>
                </c:ext>
              </c:extLst>
              <c:f>CHART!$B$34</c:f>
              <c:numCache>
                <c:formatCode>@</c:formatCode>
                <c:ptCount val="1"/>
              </c:numCache>
            </c:numRef>
          </c:cat>
          <c:val>
            <c:numRef>
              <c:extLst>
                <c:ext xmlns:c15="http://schemas.microsoft.com/office/drawing/2012/chart" uri="{02D57815-91ED-43cb-92C2-25804820EDAC}">
                  <c15:fullRef>
                    <c15:sqref>CHART!$F$3:$F$34</c15:sqref>
                  </c15:fullRef>
                </c:ext>
              </c:extLst>
              <c:f>CHART!$F$3:$F$26</c:f>
              <c:numCache>
                <c:formatCode>#,##0.00</c:formatCode>
                <c:ptCount val="24"/>
                <c:pt idx="0">
                  <c:v>110</c:v>
                </c:pt>
                <c:pt idx="1">
                  <c:v>310</c:v>
                </c:pt>
                <c:pt idx="2">
                  <c:v>5</c:v>
                </c:pt>
                <c:pt idx="3">
                  <c:v>0</c:v>
                </c:pt>
                <c:pt idx="4">
                  <c:v>240</c:v>
                </c:pt>
                <c:pt idx="5">
                  <c:v>171</c:v>
                </c:pt>
                <c:pt idx="6">
                  <c:v>80</c:v>
                </c:pt>
                <c:pt idx="7">
                  <c:v>930</c:v>
                </c:pt>
                <c:pt idx="8">
                  <c:v>0</c:v>
                </c:pt>
                <c:pt idx="9">
                  <c:v>0</c:v>
                </c:pt>
                <c:pt idx="10">
                  <c:v>0</c:v>
                </c:pt>
                <c:pt idx="11">
                  <c:v>20</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extLst>
            <c:ext xmlns:c16="http://schemas.microsoft.com/office/drawing/2014/chart" uri="{C3380CC4-5D6E-409C-BE32-E72D297353CC}">
              <c16:uniqueId val="{00000002-7085-4191-B025-C717E328BAB5}"/>
            </c:ext>
          </c:extLst>
        </c:ser>
        <c:dLbls>
          <c:showLegendKey val="0"/>
          <c:showVal val="0"/>
          <c:showCatName val="0"/>
          <c:showSerName val="0"/>
          <c:showPercent val="0"/>
          <c:showBubbleSize val="0"/>
        </c:dLbls>
        <c:gapWidth val="50"/>
        <c:overlap val="100"/>
        <c:axId val="709249487"/>
        <c:axId val="709246863"/>
      </c:barChart>
      <c:lineChart>
        <c:grouping val="standard"/>
        <c:varyColors val="0"/>
        <c:ser>
          <c:idx val="0"/>
          <c:order val="0"/>
          <c:tx>
            <c:strRef>
              <c:f>CHART!$C$2</c:f>
              <c:strCache>
                <c:ptCount val="1"/>
                <c:pt idx="0">
                  <c:v>MOVIMENTAÇÃO</c:v>
                </c:pt>
              </c:strCache>
            </c:strRef>
          </c:tx>
          <c:spPr>
            <a:ln>
              <a:solidFill>
                <a:srgbClr val="E03850"/>
              </a:solidFill>
            </a:ln>
          </c:spPr>
          <c:marker>
            <c:spPr>
              <a:solidFill>
                <a:srgbClr val="E03850"/>
              </a:solidFill>
              <a:ln>
                <a:solidFill>
                  <a:schemeClr val="bg1"/>
                </a:solidFill>
              </a:ln>
            </c:spPr>
          </c:marker>
          <c:cat>
            <c:numRef>
              <c:extLst>
                <c:ext xmlns:c15="http://schemas.microsoft.com/office/drawing/2012/chart" uri="{02D57815-91ED-43cb-92C2-25804820EDAC}">
                  <c15:fullRef>
                    <c15:sqref>CHART!$B$3:$B$34</c15:sqref>
                  </c15:fullRef>
                </c:ext>
              </c:extLst>
              <c:f>CHART!$B$3:$B$26</c:f>
              <c:numCache>
                <c:formatCode>@</c:formatCode>
                <c:ptCount val="24"/>
                <c:pt idx="0" formatCode="0">
                  <c:v>4</c:v>
                </c:pt>
                <c:pt idx="1">
                  <c:v>2</c:v>
                </c:pt>
                <c:pt idx="2">
                  <c:v>5</c:v>
                </c:pt>
                <c:pt idx="3">
                  <c:v>6</c:v>
                </c:pt>
                <c:pt idx="4">
                  <c:v>8</c:v>
                </c:pt>
                <c:pt idx="5">
                  <c:v>9</c:v>
                </c:pt>
                <c:pt idx="6">
                  <c:v>10</c:v>
                </c:pt>
                <c:pt idx="7">
                  <c:v>11</c:v>
                </c:pt>
                <c:pt idx="8">
                  <c:v>20</c:v>
                </c:pt>
                <c:pt idx="9">
                  <c:v>22</c:v>
                </c:pt>
                <c:pt idx="10">
                  <c:v>27</c:v>
                </c:pt>
                <c:pt idx="11">
                  <c:v>30</c:v>
                </c:pt>
              </c:numCache>
            </c:numRef>
          </c:cat>
          <c:val>
            <c:numRef>
              <c:extLst>
                <c:ext xmlns:c15="http://schemas.microsoft.com/office/drawing/2012/chart" uri="{02D57815-91ED-43cb-92C2-25804820EDAC}">
                  <c15:fullRef>
                    <c15:sqref>CHART!$C$3:$C$34</c15:sqref>
                  </c15:fullRef>
                </c:ext>
              </c:extLst>
              <c:f>CHART!$C$3:$C$26</c:f>
              <c:numCache>
                <c:formatCode>#,##0.00</c:formatCode>
                <c:ptCount val="24"/>
                <c:pt idx="0">
                  <c:v>-110</c:v>
                </c:pt>
                <c:pt idx="1">
                  <c:v>-310</c:v>
                </c:pt>
                <c:pt idx="2">
                  <c:v>-5</c:v>
                </c:pt>
                <c:pt idx="3">
                  <c:v>2420</c:v>
                </c:pt>
                <c:pt idx="4">
                  <c:v>-240</c:v>
                </c:pt>
                <c:pt idx="5">
                  <c:v>-171</c:v>
                </c:pt>
                <c:pt idx="6">
                  <c:v>-80</c:v>
                </c:pt>
                <c:pt idx="7">
                  <c:v>-930</c:v>
                </c:pt>
                <c:pt idx="8">
                  <c:v>537.69000000000005</c:v>
                </c:pt>
                <c:pt idx="9">
                  <c:v>10</c:v>
                </c:pt>
                <c:pt idx="10">
                  <c:v>700</c:v>
                </c:pt>
                <c:pt idx="11">
                  <c:v>-20</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5-7085-4191-B025-C717E328BAB5}"/>
            </c:ext>
          </c:extLst>
        </c:ser>
        <c:dLbls>
          <c:showLegendKey val="0"/>
          <c:showVal val="0"/>
          <c:showCatName val="0"/>
          <c:showSerName val="0"/>
          <c:showPercent val="0"/>
          <c:showBubbleSize val="0"/>
        </c:dLbls>
        <c:marker val="1"/>
        <c:smooth val="0"/>
        <c:axId val="709249487"/>
        <c:axId val="709246863"/>
      </c:lineChart>
      <c:catAx>
        <c:axId val="709249487"/>
        <c:scaling>
          <c:orientation val="minMax"/>
        </c:scaling>
        <c:delete val="0"/>
        <c:axPos val="b"/>
        <c:title>
          <c:tx>
            <c:rich>
              <a:bodyPr/>
              <a:lstStyle/>
              <a:p>
                <a:pPr>
                  <a:defRPr b="1"/>
                </a:pPr>
                <a:r>
                  <a:rPr lang="pt-BR" b="1"/>
                  <a:t>Data</a:t>
                </a:r>
                <a:r>
                  <a:rPr lang="pt-BR" b="1" baseline="0"/>
                  <a:t> (dia)</a:t>
                </a:r>
                <a:endParaRPr lang="pt-BR" b="1"/>
              </a:p>
            </c:rich>
          </c:tx>
          <c:layout>
            <c:manualLayout>
              <c:xMode val="edge"/>
              <c:yMode val="edge"/>
              <c:x val="0.8717814380133394"/>
              <c:y val="0.85424477491209516"/>
            </c:manualLayout>
          </c:layout>
          <c:overlay val="0"/>
        </c:title>
        <c:numFmt formatCode="@" sourceLinked="0"/>
        <c:majorTickMark val="out"/>
        <c:minorTickMark val="none"/>
        <c:tickLblPos val="nextTo"/>
        <c:spPr>
          <a:ln>
            <a:solidFill>
              <a:schemeClr val="bg1">
                <a:lumMod val="75000"/>
              </a:schemeClr>
            </a:solidFill>
          </a:ln>
        </c:spPr>
        <c:txPr>
          <a:bodyPr rot="-5400000" vert="horz" anchor="t" anchorCtr="0"/>
          <a:lstStyle/>
          <a:p>
            <a:pPr>
              <a:defRPr>
                <a:solidFill>
                  <a:schemeClr val="bg1">
                    <a:lumMod val="50000"/>
                  </a:schemeClr>
                </a:solidFill>
              </a:defRPr>
            </a:pPr>
            <a:endParaRPr lang="pt-BR"/>
          </a:p>
        </c:txPr>
        <c:crossAx val="709246863"/>
        <c:crosses val="autoZero"/>
        <c:auto val="0"/>
        <c:lblAlgn val="ctr"/>
        <c:lblOffset val="100"/>
        <c:tickLblSkip val="1"/>
        <c:tickMarkSkip val="1"/>
        <c:noMultiLvlLbl val="0"/>
      </c:catAx>
      <c:valAx>
        <c:axId val="709246863"/>
        <c:scaling>
          <c:orientation val="minMax"/>
        </c:scaling>
        <c:delete val="0"/>
        <c:axPos val="l"/>
        <c:majorGridlines>
          <c:spPr>
            <a:ln w="9525" cap="flat" cmpd="sng" algn="ctr">
              <a:solidFill>
                <a:schemeClr val="tx1">
                  <a:lumMod val="15000"/>
                  <a:lumOff val="85000"/>
                </a:schemeClr>
              </a:solidFill>
              <a:prstDash val="lgDash"/>
              <a:round/>
            </a:ln>
            <a:effectLst/>
          </c:spPr>
        </c:majorGridlines>
        <c:title>
          <c:tx>
            <c:rich>
              <a:bodyPr/>
              <a:lstStyle/>
              <a:p>
                <a:pPr>
                  <a:defRPr/>
                </a:pPr>
                <a:r>
                  <a:rPr lang="pt-BR"/>
                  <a:t>Faturamento (R$)</a:t>
                </a:r>
              </a:p>
            </c:rich>
          </c:tx>
          <c:layout>
            <c:manualLayout>
              <c:xMode val="edge"/>
              <c:yMode val="edge"/>
              <c:x val="1.9558353888855266E-3"/>
              <c:y val="0.53257642186112908"/>
            </c:manualLayout>
          </c:layout>
          <c:overlay val="0"/>
        </c:title>
        <c:numFmt formatCode="[&gt;9999]0,&quot;k&quot;;0.0,&quot;k&quot;" sourceLinked="0"/>
        <c:majorTickMark val="out"/>
        <c:minorTickMark val="none"/>
        <c:tickLblPos val="nextTo"/>
        <c:spPr>
          <a:ln cmpd="sng">
            <a:solidFill>
              <a:schemeClr val="bg1">
                <a:lumMod val="75000"/>
              </a:schemeClr>
            </a:solidFill>
            <a:prstDash val="solid"/>
            <a:headEnd type="triangle"/>
          </a:ln>
        </c:spPr>
        <c:txPr>
          <a:bodyPr/>
          <a:lstStyle/>
          <a:p>
            <a:pPr>
              <a:defRPr sz="900" b="0">
                <a:solidFill>
                  <a:schemeClr val="bg1">
                    <a:lumMod val="50000"/>
                  </a:schemeClr>
                </a:solidFill>
              </a:defRPr>
            </a:pPr>
            <a:endParaRPr lang="pt-BR"/>
          </a:p>
        </c:txPr>
        <c:crossAx val="709249487"/>
        <c:crossesAt val="1"/>
        <c:crossBetween val="between"/>
      </c:valAx>
    </c:plotArea>
    <c:legend>
      <c:legendPos val="r"/>
      <c:layout>
        <c:manualLayout>
          <c:xMode val="edge"/>
          <c:yMode val="edge"/>
          <c:x val="0.82874099205083973"/>
          <c:y val="0.3855941991590417"/>
          <c:w val="0.17125900794916027"/>
          <c:h val="0.22881136668544289"/>
        </c:manualLayout>
      </c:layout>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ln>
      <a:noFill/>
    </a:ln>
  </c:spPr>
  <c:txPr>
    <a:bodyPr/>
    <a:lstStyle/>
    <a:p>
      <a:pPr>
        <a:defRPr>
          <a:solidFill>
            <a:schemeClr val="tx1">
              <a:lumMod val="75000"/>
              <a:lumOff val="25000"/>
            </a:schemeClr>
          </a:solidFill>
          <a:latin typeface="Gadugi" panose="020B0502040204020203" pitchFamily="34" charset="0"/>
          <a:ea typeface="Gadugi" panose="020B0502040204020203" pitchFamily="34" charset="0"/>
          <a:cs typeface="Segoe UI" panose="020B0502040204020203" pitchFamily="34" charset="0"/>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3"/>
          <c:order val="1"/>
          <c:tx>
            <c:strRef>
              <c:f>CHART!$F$2</c:f>
              <c:strCache>
                <c:ptCount val="1"/>
                <c:pt idx="0">
                  <c:v>MÍN</c:v>
                </c:pt>
              </c:strCache>
            </c:strRef>
          </c:tx>
          <c:invertIfNegative val="0"/>
          <c:dPt>
            <c:idx val="3"/>
            <c:invertIfNegative val="0"/>
            <c:bubble3D val="0"/>
            <c:spPr>
              <a:pattFill prst="wdDnDiag">
                <a:fgClr>
                  <a:srgbClr val="FF0000"/>
                </a:fgClr>
                <a:bgClr>
                  <a:schemeClr val="bg1"/>
                </a:bgClr>
              </a:pattFill>
              <a:ln>
                <a:solidFill>
                  <a:srgbClr val="E03850">
                    <a:alpha val="48000"/>
                  </a:srgbClr>
                </a:solidFill>
              </a:ln>
            </c:spPr>
            <c:extLst>
              <c:ext xmlns:c16="http://schemas.microsoft.com/office/drawing/2014/chart" uri="{C3380CC4-5D6E-409C-BE32-E72D297353CC}">
                <c16:uniqueId val="{0000000A-1A0F-408B-B978-C8F6404D12A5}"/>
              </c:ext>
            </c:extLst>
          </c:dPt>
          <c:dLbls>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A0F-408B-B978-C8F6404D12A5}"/>
                </c:ext>
              </c:extLst>
            </c:dLbl>
            <c:numFmt formatCode="\-#,##0.00;\-#,##0.00;" sourceLinked="0"/>
            <c:spPr>
              <a:noFill/>
              <a:ln>
                <a:noFill/>
              </a:ln>
              <a:effectLst/>
            </c:spPr>
            <c:txPr>
              <a:bodyPr wrap="square" lIns="38100" tIns="19050" rIns="38100" bIns="19050" anchor="ctr">
                <a:spAutoFit/>
              </a:bodyPr>
              <a:lstStyle/>
              <a:p>
                <a:pPr>
                  <a:defRPr sz="1000" b="1">
                    <a:solidFill>
                      <a:srgbClr val="FF0000"/>
                    </a:solidFill>
                  </a:defRPr>
                </a:pPr>
                <a:endParaRPr lang="pt-BR"/>
              </a:p>
            </c:txPr>
            <c:showLegendKey val="0"/>
            <c:showVal val="0"/>
            <c:showCatName val="0"/>
            <c:showSerName val="0"/>
            <c:showPercent val="0"/>
            <c:showBubbleSize val="0"/>
            <c:extLst>
              <c:ext xmlns:c15="http://schemas.microsoft.com/office/drawing/2012/chart" uri="{CE6537A1-D6FC-4f65-9D91-7224C49458BB}">
                <c15:showLeaderLines val="1"/>
              </c:ext>
            </c:extLst>
          </c:dLbls>
          <c:cat>
            <c:numRef>
              <c:f>CHART!$B$34</c:f>
              <c:numCache>
                <c:formatCode>@</c:formatCode>
                <c:ptCount val="1"/>
              </c:numCache>
            </c:numRef>
          </c:cat>
          <c:val>
            <c:numRef>
              <c:f>CHART!$F$3:$F$34</c:f>
              <c:numCache>
                <c:formatCode>#,##0.00</c:formatCode>
                <c:ptCount val="32"/>
                <c:pt idx="0">
                  <c:v>110</c:v>
                </c:pt>
                <c:pt idx="1">
                  <c:v>310</c:v>
                </c:pt>
                <c:pt idx="2">
                  <c:v>5</c:v>
                </c:pt>
                <c:pt idx="3">
                  <c:v>0</c:v>
                </c:pt>
                <c:pt idx="4">
                  <c:v>240</c:v>
                </c:pt>
                <c:pt idx="5">
                  <c:v>171</c:v>
                </c:pt>
                <c:pt idx="6">
                  <c:v>80</c:v>
                </c:pt>
                <c:pt idx="7">
                  <c:v>930</c:v>
                </c:pt>
                <c:pt idx="8">
                  <c:v>0</c:v>
                </c:pt>
                <c:pt idx="9">
                  <c:v>0</c:v>
                </c:pt>
                <c:pt idx="10">
                  <c:v>0</c:v>
                </c:pt>
                <c:pt idx="11">
                  <c:v>20</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numCache>
            </c:numRef>
          </c:val>
          <c:extLst>
            <c:ext xmlns:c16="http://schemas.microsoft.com/office/drawing/2014/chart" uri="{C3380CC4-5D6E-409C-BE32-E72D297353CC}">
              <c16:uniqueId val="{00000009-1A0F-408B-B978-C8F6404D12A5}"/>
            </c:ext>
          </c:extLst>
        </c:ser>
        <c:ser>
          <c:idx val="1"/>
          <c:order val="2"/>
          <c:tx>
            <c:strRef>
              <c:f>CHART!$D$2</c:f>
              <c:strCache>
                <c:ptCount val="1"/>
                <c:pt idx="0">
                  <c:v>SALDO</c:v>
                </c:pt>
              </c:strCache>
            </c:strRef>
          </c:tx>
          <c:spPr>
            <a:gradFill>
              <a:gsLst>
                <a:gs pos="0">
                  <a:schemeClr val="tx1">
                    <a:lumMod val="85000"/>
                    <a:lumOff val="15000"/>
                  </a:schemeClr>
                </a:gs>
                <a:gs pos="100000">
                  <a:schemeClr val="bg2">
                    <a:lumMod val="10000"/>
                  </a:schemeClr>
                </a:gs>
              </a:gsLst>
              <a:lin ang="5400000" scaled="1"/>
            </a:gradFill>
          </c:spPr>
          <c:invertIfNegative val="0"/>
          <c:cat>
            <c:numRef>
              <c:f>CHART!$B$34</c:f>
              <c:numCache>
                <c:formatCode>@</c:formatCode>
                <c:ptCount val="1"/>
              </c:numCache>
            </c:numRef>
          </c:cat>
          <c:val>
            <c:numRef>
              <c:f>CHART!$D$3:$D$34</c:f>
              <c:numCache>
                <c:formatCode>#,##0.00</c:formatCode>
                <c:ptCount val="32"/>
                <c:pt idx="0">
                  <c:v>630</c:v>
                </c:pt>
                <c:pt idx="1">
                  <c:v>430</c:v>
                </c:pt>
                <c:pt idx="2">
                  <c:v>75</c:v>
                </c:pt>
                <c:pt idx="3">
                  <c:v>455</c:v>
                </c:pt>
                <c:pt idx="4">
                  <c:v>2475</c:v>
                </c:pt>
                <c:pt idx="5">
                  <c:v>2220</c:v>
                </c:pt>
                <c:pt idx="6">
                  <c:v>2064</c:v>
                </c:pt>
                <c:pt idx="7">
                  <c:v>1074</c:v>
                </c:pt>
                <c:pt idx="8">
                  <c:v>1136.31</c:v>
                </c:pt>
                <c:pt idx="9">
                  <c:v>1611.69</c:v>
                </c:pt>
                <c:pt idx="10">
                  <c:v>1621.69</c:v>
                </c:pt>
                <c:pt idx="11">
                  <c:v>2301.69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numCache>
            </c:numRef>
          </c:val>
          <c:extLst>
            <c:ext xmlns:c16="http://schemas.microsoft.com/office/drawing/2014/chart" uri="{C3380CC4-5D6E-409C-BE32-E72D297353CC}">
              <c16:uniqueId val="{00000007-1A0F-408B-B978-C8F6404D12A5}"/>
            </c:ext>
          </c:extLst>
        </c:ser>
        <c:ser>
          <c:idx val="2"/>
          <c:order val="3"/>
          <c:tx>
            <c:strRef>
              <c:f>CHART!$E$2</c:f>
              <c:strCache>
                <c:ptCount val="1"/>
                <c:pt idx="0">
                  <c:v>MÁX</c:v>
                </c:pt>
              </c:strCache>
            </c:strRef>
          </c:tx>
          <c:spPr>
            <a:pattFill prst="wdUpDiag">
              <a:fgClr>
                <a:srgbClr val="009644"/>
              </a:fgClr>
              <a:bgClr>
                <a:schemeClr val="bg1"/>
              </a:bgClr>
            </a:pattFill>
            <a:ln>
              <a:solidFill>
                <a:srgbClr val="009644">
                  <a:alpha val="48000"/>
                </a:srgbClr>
              </a:solidFill>
            </a:ln>
          </c:spPr>
          <c:invertIfNegative val="0"/>
          <c:dLbls>
            <c:numFmt formatCode="#,##0.00;\-#,##0.00;" sourceLinked="0"/>
            <c:spPr>
              <a:noFill/>
              <a:ln>
                <a:noFill/>
              </a:ln>
              <a:effectLst/>
            </c:spPr>
            <c:txPr>
              <a:bodyPr wrap="square" lIns="38100" tIns="19050" rIns="38100" bIns="19050" anchor="ctr">
                <a:spAutoFit/>
              </a:bodyPr>
              <a:lstStyle/>
              <a:p>
                <a:pPr>
                  <a:defRPr b="1">
                    <a:solidFill>
                      <a:srgbClr val="00B050"/>
                    </a:solidFill>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CHART!$B$34</c:f>
              <c:numCache>
                <c:formatCode>@</c:formatCode>
                <c:ptCount val="1"/>
              </c:numCache>
            </c:numRef>
          </c:cat>
          <c:val>
            <c:numRef>
              <c:f>CHART!$E$3:$E$34</c:f>
              <c:numCache>
                <c:formatCode>#,##0.00</c:formatCode>
                <c:ptCount val="32"/>
                <c:pt idx="0">
                  <c:v>0</c:v>
                </c:pt>
                <c:pt idx="1">
                  <c:v>0</c:v>
                </c:pt>
                <c:pt idx="2">
                  <c:v>0</c:v>
                </c:pt>
                <c:pt idx="3">
                  <c:v>2420</c:v>
                </c:pt>
                <c:pt idx="4">
                  <c:v>0</c:v>
                </c:pt>
                <c:pt idx="5">
                  <c:v>0</c:v>
                </c:pt>
                <c:pt idx="6">
                  <c:v>0</c:v>
                </c:pt>
                <c:pt idx="7">
                  <c:v>0</c:v>
                </c:pt>
                <c:pt idx="8">
                  <c:v>537.69000000000005</c:v>
                </c:pt>
                <c:pt idx="9">
                  <c:v>10</c:v>
                </c:pt>
                <c:pt idx="10">
                  <c:v>700</c:v>
                </c:pt>
                <c:pt idx="11">
                  <c:v>0</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numCache>
            </c:numRef>
          </c:val>
          <c:extLst>
            <c:ext xmlns:c16="http://schemas.microsoft.com/office/drawing/2014/chart" uri="{C3380CC4-5D6E-409C-BE32-E72D297353CC}">
              <c16:uniqueId val="{00000008-1A0F-408B-B978-C8F6404D12A5}"/>
            </c:ext>
          </c:extLst>
        </c:ser>
        <c:dLbls>
          <c:showLegendKey val="0"/>
          <c:showVal val="0"/>
          <c:showCatName val="0"/>
          <c:showSerName val="0"/>
          <c:showPercent val="0"/>
          <c:showBubbleSize val="0"/>
        </c:dLbls>
        <c:gapWidth val="32"/>
        <c:overlap val="100"/>
        <c:axId val="709249487"/>
        <c:axId val="709246863"/>
      </c:barChart>
      <c:lineChart>
        <c:grouping val="standard"/>
        <c:varyColors val="0"/>
        <c:ser>
          <c:idx val="0"/>
          <c:order val="0"/>
          <c:tx>
            <c:strRef>
              <c:f>CHART!$C$2</c:f>
              <c:strCache>
                <c:ptCount val="1"/>
                <c:pt idx="0">
                  <c:v>MOVIMENTAÇÃO</c:v>
                </c:pt>
              </c:strCache>
            </c:strRef>
          </c:tx>
          <c:spPr>
            <a:ln>
              <a:solidFill>
                <a:srgbClr val="E03850"/>
              </a:solidFill>
            </a:ln>
          </c:spPr>
          <c:marker>
            <c:spPr>
              <a:solidFill>
                <a:srgbClr val="E03850"/>
              </a:solidFill>
              <a:ln>
                <a:solidFill>
                  <a:schemeClr val="bg1"/>
                </a:solidFill>
              </a:ln>
            </c:spPr>
          </c:marker>
          <c:cat>
            <c:numRef>
              <c:f>CHART!$B$3:$B$34</c:f>
              <c:numCache>
                <c:formatCode>@</c:formatCode>
                <c:ptCount val="32"/>
                <c:pt idx="0" formatCode="0">
                  <c:v>4</c:v>
                </c:pt>
                <c:pt idx="1">
                  <c:v>2</c:v>
                </c:pt>
                <c:pt idx="2">
                  <c:v>5</c:v>
                </c:pt>
                <c:pt idx="3">
                  <c:v>6</c:v>
                </c:pt>
                <c:pt idx="4">
                  <c:v>8</c:v>
                </c:pt>
                <c:pt idx="5">
                  <c:v>9</c:v>
                </c:pt>
                <c:pt idx="6">
                  <c:v>10</c:v>
                </c:pt>
                <c:pt idx="7">
                  <c:v>11</c:v>
                </c:pt>
                <c:pt idx="8">
                  <c:v>20</c:v>
                </c:pt>
                <c:pt idx="9">
                  <c:v>22</c:v>
                </c:pt>
                <c:pt idx="10">
                  <c:v>27</c:v>
                </c:pt>
                <c:pt idx="11">
                  <c:v>30</c:v>
                </c:pt>
              </c:numCache>
            </c:numRef>
          </c:cat>
          <c:val>
            <c:numRef>
              <c:f>CHART!$C$3:$C$34</c:f>
              <c:numCache>
                <c:formatCode>#,##0.00</c:formatCode>
                <c:ptCount val="32"/>
                <c:pt idx="0">
                  <c:v>-110</c:v>
                </c:pt>
                <c:pt idx="1">
                  <c:v>-310</c:v>
                </c:pt>
                <c:pt idx="2">
                  <c:v>-5</c:v>
                </c:pt>
                <c:pt idx="3">
                  <c:v>2420</c:v>
                </c:pt>
                <c:pt idx="4">
                  <c:v>-240</c:v>
                </c:pt>
                <c:pt idx="5">
                  <c:v>-171</c:v>
                </c:pt>
                <c:pt idx="6">
                  <c:v>-80</c:v>
                </c:pt>
                <c:pt idx="7">
                  <c:v>-930</c:v>
                </c:pt>
                <c:pt idx="8">
                  <c:v>537.69000000000005</c:v>
                </c:pt>
                <c:pt idx="9">
                  <c:v>10</c:v>
                </c:pt>
                <c:pt idx="10">
                  <c:v>700</c:v>
                </c:pt>
                <c:pt idx="11">
                  <c:v>-20</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numCache>
            </c:numRef>
          </c:val>
          <c:smooth val="0"/>
          <c:extLst>
            <c:ext xmlns:c16="http://schemas.microsoft.com/office/drawing/2014/chart" uri="{C3380CC4-5D6E-409C-BE32-E72D297353CC}">
              <c16:uniqueId val="{00000006-1A0F-408B-B978-C8F6404D12A5}"/>
            </c:ext>
          </c:extLst>
        </c:ser>
        <c:dLbls>
          <c:showLegendKey val="0"/>
          <c:showVal val="0"/>
          <c:showCatName val="0"/>
          <c:showSerName val="0"/>
          <c:showPercent val="0"/>
          <c:showBubbleSize val="0"/>
        </c:dLbls>
        <c:marker val="1"/>
        <c:smooth val="0"/>
        <c:axId val="709249487"/>
        <c:axId val="709246863"/>
      </c:lineChart>
      <c:catAx>
        <c:axId val="709249487"/>
        <c:scaling>
          <c:orientation val="minMax"/>
        </c:scaling>
        <c:delete val="0"/>
        <c:axPos val="b"/>
        <c:title>
          <c:tx>
            <c:rich>
              <a:bodyPr/>
              <a:lstStyle/>
              <a:p>
                <a:pPr>
                  <a:defRPr b="1"/>
                </a:pPr>
                <a:r>
                  <a:rPr lang="pt-BR" b="1"/>
                  <a:t>Data</a:t>
                </a:r>
                <a:r>
                  <a:rPr lang="pt-BR" b="1" baseline="0"/>
                  <a:t> (dia)</a:t>
                </a:r>
                <a:endParaRPr lang="pt-BR" b="1"/>
              </a:p>
            </c:rich>
          </c:tx>
          <c:layout>
            <c:manualLayout>
              <c:xMode val="edge"/>
              <c:yMode val="edge"/>
              <c:x val="0.8717814380133394"/>
              <c:y val="0.85424477491209516"/>
            </c:manualLayout>
          </c:layout>
          <c:overlay val="0"/>
        </c:title>
        <c:numFmt formatCode="@" sourceLinked="0"/>
        <c:majorTickMark val="out"/>
        <c:minorTickMark val="none"/>
        <c:tickLblPos val="nextTo"/>
        <c:spPr>
          <a:ln>
            <a:solidFill>
              <a:schemeClr val="bg1">
                <a:lumMod val="85000"/>
              </a:schemeClr>
            </a:solidFill>
          </a:ln>
        </c:spPr>
        <c:txPr>
          <a:bodyPr/>
          <a:lstStyle/>
          <a:p>
            <a:pPr>
              <a:defRPr>
                <a:solidFill>
                  <a:schemeClr val="bg1">
                    <a:lumMod val="50000"/>
                  </a:schemeClr>
                </a:solidFill>
              </a:defRPr>
            </a:pPr>
            <a:endParaRPr lang="pt-BR"/>
          </a:p>
        </c:txPr>
        <c:crossAx val="709246863"/>
        <c:crosses val="autoZero"/>
        <c:auto val="0"/>
        <c:lblAlgn val="ctr"/>
        <c:lblOffset val="100"/>
        <c:noMultiLvlLbl val="0"/>
      </c:catAx>
      <c:valAx>
        <c:axId val="709246863"/>
        <c:scaling>
          <c:orientation val="minMax"/>
        </c:scaling>
        <c:delete val="1"/>
        <c:axPos val="l"/>
        <c:majorGridlines>
          <c:spPr>
            <a:ln w="9525" cap="flat" cmpd="sng" algn="ctr">
              <a:solidFill>
                <a:schemeClr val="tx1">
                  <a:lumMod val="15000"/>
                  <a:lumOff val="85000"/>
                </a:schemeClr>
              </a:solidFill>
              <a:prstDash val="lgDash"/>
              <a:round/>
            </a:ln>
            <a:effectLst/>
          </c:spPr>
        </c:majorGridlines>
        <c:title>
          <c:tx>
            <c:rich>
              <a:bodyPr/>
              <a:lstStyle/>
              <a:p>
                <a:pPr>
                  <a:defRPr/>
                </a:pPr>
                <a:r>
                  <a:rPr lang="pt-BR"/>
                  <a:t>Faturamento (R$)</a:t>
                </a:r>
              </a:p>
            </c:rich>
          </c:tx>
          <c:layout>
            <c:manualLayout>
              <c:xMode val="edge"/>
              <c:yMode val="edge"/>
              <c:x val="1.9558353888855266E-3"/>
              <c:y val="0.53257642186112908"/>
            </c:manualLayout>
          </c:layout>
          <c:overlay val="0"/>
        </c:title>
        <c:numFmt formatCode="#,##0.00" sourceLinked="1"/>
        <c:majorTickMark val="none"/>
        <c:minorTickMark val="none"/>
        <c:tickLblPos val="nextTo"/>
        <c:crossAx val="709249487"/>
        <c:crossesAt val="1"/>
        <c:crossBetween val="between"/>
      </c:valAx>
    </c:plotArea>
    <c:legend>
      <c:legendPos val="b"/>
      <c:legendEntry>
        <c:idx val="0"/>
        <c:delete val="1"/>
      </c:legendEntry>
      <c:legendEntry>
        <c:idx val="2"/>
        <c:delete val="1"/>
      </c:legendEntry>
      <c:layout>
        <c:manualLayout>
          <c:xMode val="edge"/>
          <c:yMode val="edge"/>
          <c:x val="0.30491689316626497"/>
          <c:y val="0.90025666350701472"/>
          <c:w val="0.29143239271540328"/>
          <c:h val="5.5585393523212415E-2"/>
        </c:manualLayout>
      </c:layout>
      <c:overlay val="0"/>
      <c:txPr>
        <a:bodyPr/>
        <a:lstStyle/>
        <a:p>
          <a:pPr>
            <a:defRPr b="1"/>
          </a:pPr>
          <a:endParaRPr lang="pt-BR"/>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ln>
      <a:noFill/>
    </a:ln>
  </c:spPr>
  <c:txPr>
    <a:bodyPr/>
    <a:lstStyle/>
    <a:p>
      <a:pPr>
        <a:defRPr>
          <a:solidFill>
            <a:schemeClr val="tx1">
              <a:lumMod val="75000"/>
              <a:lumOff val="25000"/>
            </a:schemeClr>
          </a:solidFill>
          <a:latin typeface="Gadugi" panose="020B0502040204020203" pitchFamily="34" charset="0"/>
          <a:ea typeface="Gadugi" panose="020B0502040204020203" pitchFamily="34" charset="0"/>
          <a:cs typeface="Segoe UI" panose="020B0502040204020203" pitchFamily="34" charset="0"/>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microsoft.com/office/2007/relationships/hdphoto" Target="../media/hdphoto3.wdp"/><Relationship Id="rId18" Type="http://schemas.openxmlformats.org/officeDocument/2006/relationships/image" Target="../media/image12.png"/><Relationship Id="rId26" Type="http://schemas.openxmlformats.org/officeDocument/2006/relationships/image" Target="../media/image17.png"/><Relationship Id="rId3" Type="http://schemas.openxmlformats.org/officeDocument/2006/relationships/image" Target="../media/image1.png"/><Relationship Id="rId21" Type="http://schemas.openxmlformats.org/officeDocument/2006/relationships/chart" Target="../charts/chart2.xml"/><Relationship Id="rId7" Type="http://schemas.openxmlformats.org/officeDocument/2006/relationships/image" Target="../media/image4.png"/><Relationship Id="rId12" Type="http://schemas.openxmlformats.org/officeDocument/2006/relationships/image" Target="../media/image8.png"/><Relationship Id="rId17" Type="http://schemas.microsoft.com/office/2007/relationships/hdphoto" Target="../media/hdphoto4.wdp"/><Relationship Id="rId25" Type="http://schemas.microsoft.com/office/2007/relationships/hdphoto" Target="../media/hdphoto5.wdp"/><Relationship Id="rId2" Type="http://schemas.openxmlformats.org/officeDocument/2006/relationships/hyperlink" Target="#DASHCL!A1"/><Relationship Id="rId16" Type="http://schemas.openxmlformats.org/officeDocument/2006/relationships/image" Target="../media/image11.png"/><Relationship Id="rId20" Type="http://schemas.openxmlformats.org/officeDocument/2006/relationships/chart" Target="../charts/chart1.xml"/><Relationship Id="rId29" Type="http://schemas.openxmlformats.org/officeDocument/2006/relationships/chart" Target="../charts/chart4.xml"/><Relationship Id="rId1" Type="http://schemas.openxmlformats.org/officeDocument/2006/relationships/hyperlink" Target="#VISAO.GERAL!A1"/><Relationship Id="rId6" Type="http://schemas.openxmlformats.org/officeDocument/2006/relationships/image" Target="../media/image3.png"/><Relationship Id="rId11" Type="http://schemas.microsoft.com/office/2007/relationships/hdphoto" Target="../media/hdphoto2.wdp"/><Relationship Id="rId24" Type="http://schemas.openxmlformats.org/officeDocument/2006/relationships/image" Target="../media/image16.png"/><Relationship Id="rId5" Type="http://schemas.openxmlformats.org/officeDocument/2006/relationships/image" Target="../media/image2.png"/><Relationship Id="rId15" Type="http://schemas.openxmlformats.org/officeDocument/2006/relationships/image" Target="../media/image10.png"/><Relationship Id="rId23" Type="http://schemas.openxmlformats.org/officeDocument/2006/relationships/image" Target="../media/image15.svg"/><Relationship Id="rId28" Type="http://schemas.openxmlformats.org/officeDocument/2006/relationships/chart" Target="../charts/chart3.xml"/><Relationship Id="rId10" Type="http://schemas.openxmlformats.org/officeDocument/2006/relationships/image" Target="../media/image7.png"/><Relationship Id="rId19" Type="http://schemas.openxmlformats.org/officeDocument/2006/relationships/image" Target="../media/image13.svg"/><Relationship Id="rId31" Type="http://schemas.openxmlformats.org/officeDocument/2006/relationships/image" Target="../media/image20.png"/><Relationship Id="rId4" Type="http://schemas.microsoft.com/office/2007/relationships/hdphoto" Target="../media/hdphoto1.wdp"/><Relationship Id="rId9" Type="http://schemas.openxmlformats.org/officeDocument/2006/relationships/image" Target="../media/image6.png"/><Relationship Id="rId14" Type="http://schemas.openxmlformats.org/officeDocument/2006/relationships/image" Target="../media/image9.png"/><Relationship Id="rId22" Type="http://schemas.openxmlformats.org/officeDocument/2006/relationships/image" Target="../media/image14.png"/><Relationship Id="rId27" Type="http://schemas.openxmlformats.org/officeDocument/2006/relationships/image" Target="../media/image18.png"/><Relationship Id="rId30" Type="http://schemas.openxmlformats.org/officeDocument/2006/relationships/image" Target="../media/image19.png"/></Relationships>
</file>

<file path=xl/drawings/_rels/drawing2.xml.rels><?xml version="1.0" encoding="UTF-8" standalone="yes"?>
<Relationships xmlns="http://schemas.openxmlformats.org/package/2006/relationships"><Relationship Id="rId2" Type="http://schemas.openxmlformats.org/officeDocument/2006/relationships/image" Target="../media/image22.png"/><Relationship Id="rId1" Type="http://schemas.openxmlformats.org/officeDocument/2006/relationships/image" Target="../media/image21.png"/></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36</xdr:col>
      <xdr:colOff>247650</xdr:colOff>
      <xdr:row>25</xdr:row>
      <xdr:rowOff>274493</xdr:rowOff>
    </xdr:to>
    <xdr:sp macro="" textlink="">
      <xdr:nvSpPr>
        <xdr:cNvPr id="2" name="PageFill">
          <a:hlinkClick xmlns:r="http://schemas.openxmlformats.org/officeDocument/2006/relationships" r:id="rId1" tooltip=" "/>
          <a:extLst>
            <a:ext uri="{FF2B5EF4-FFF2-40B4-BE49-F238E27FC236}">
              <a16:creationId xmlns:a16="http://schemas.microsoft.com/office/drawing/2014/main" id="{0330AFC5-ECE4-4F2A-860C-5BCE111FE1BE}"/>
            </a:ext>
          </a:extLst>
        </xdr:cNvPr>
        <xdr:cNvSpPr>
          <a:spLocks/>
        </xdr:cNvSpPr>
      </xdr:nvSpPr>
      <xdr:spPr>
        <a:xfrm>
          <a:off x="400050" y="352425"/>
          <a:ext cx="14401800" cy="8866043"/>
        </a:xfrm>
        <a:prstGeom prst="roundRect">
          <a:avLst>
            <a:gd name="adj" fmla="val 1390"/>
          </a:avLst>
        </a:prstGeom>
        <a:solidFill>
          <a:schemeClr val="bg1">
            <a:lumMod val="95000"/>
          </a:schemeClr>
        </a:solidFill>
        <a:ln w="5080" cap="flat" cmpd="sng" algn="ctr">
          <a:solidFill>
            <a:schemeClr val="bg1">
              <a:lumMod val="75000"/>
            </a:schemeClr>
          </a:solidFill>
          <a:prstDash val="solid"/>
          <a:miter lim="800000"/>
        </a:ln>
        <a:effectLst>
          <a:outerShdw blurRad="165100" sx="101000" sy="101000" algn="ctr" rotWithShape="0">
            <a:prstClr val="black">
              <a:alpha val="1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xdr:col>
      <xdr:colOff>196450</xdr:colOff>
      <xdr:row>1</xdr:row>
      <xdr:rowOff>196770</xdr:rowOff>
    </xdr:from>
    <xdr:to>
      <xdr:col>5</xdr:col>
      <xdr:colOff>153527</xdr:colOff>
      <xdr:row>1</xdr:row>
      <xdr:rowOff>317400</xdr:rowOff>
    </xdr:to>
    <xdr:grpSp>
      <xdr:nvGrpSpPr>
        <xdr:cNvPr id="3" name="MacOS UI">
          <a:extLst>
            <a:ext uri="{FF2B5EF4-FFF2-40B4-BE49-F238E27FC236}">
              <a16:creationId xmlns:a16="http://schemas.microsoft.com/office/drawing/2014/main" id="{D7AB0D54-BF63-4A09-9472-D7A22DFCBB64}"/>
            </a:ext>
          </a:extLst>
        </xdr:cNvPr>
        <xdr:cNvGrpSpPr>
          <a:grpSpLocks/>
        </xdr:cNvGrpSpPr>
      </xdr:nvGrpSpPr>
      <xdr:grpSpPr>
        <a:xfrm>
          <a:off x="596500" y="549195"/>
          <a:ext cx="1557277" cy="120630"/>
          <a:chOff x="646625" y="380253"/>
          <a:chExt cx="1515894" cy="116328"/>
        </a:xfrm>
      </xdr:grpSpPr>
      <xdr:grpSp>
        <xdr:nvGrpSpPr>
          <xdr:cNvPr id="4" name="MacOS Buttons">
            <a:extLst>
              <a:ext uri="{FF2B5EF4-FFF2-40B4-BE49-F238E27FC236}">
                <a16:creationId xmlns:a16="http://schemas.microsoft.com/office/drawing/2014/main" id="{EF869CB1-4A72-4E17-A797-5AAD057FA930}"/>
              </a:ext>
            </a:extLst>
          </xdr:cNvPr>
          <xdr:cNvGrpSpPr/>
        </xdr:nvGrpSpPr>
        <xdr:grpSpPr>
          <a:xfrm>
            <a:off x="646625" y="382276"/>
            <a:ext cx="439237" cy="111425"/>
            <a:chOff x="2627824" y="324172"/>
            <a:chExt cx="501493" cy="127218"/>
          </a:xfrm>
        </xdr:grpSpPr>
        <xdr:sp macro="" textlink="">
          <xdr:nvSpPr>
            <xdr:cNvPr id="11" name="Red">
              <a:extLst>
                <a:ext uri="{FF2B5EF4-FFF2-40B4-BE49-F238E27FC236}">
                  <a16:creationId xmlns:a16="http://schemas.microsoft.com/office/drawing/2014/main" id="{05AFFF77-7845-4FA7-95A6-C1F717BE84E1}"/>
                </a:ext>
              </a:extLst>
            </xdr:cNvPr>
            <xdr:cNvSpPr/>
          </xdr:nvSpPr>
          <xdr:spPr>
            <a:xfrm>
              <a:off x="2627824" y="324174"/>
              <a:ext cx="127217" cy="127216"/>
            </a:xfrm>
            <a:prstGeom prst="ellipse">
              <a:avLst/>
            </a:prstGeom>
            <a:solidFill>
              <a:srgbClr val="E2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 name="Yellow">
              <a:extLst>
                <a:ext uri="{FF2B5EF4-FFF2-40B4-BE49-F238E27FC236}">
                  <a16:creationId xmlns:a16="http://schemas.microsoft.com/office/drawing/2014/main" id="{AE0489E2-5448-4F62-AA28-2F984215F802}"/>
                </a:ext>
              </a:extLst>
            </xdr:cNvPr>
            <xdr:cNvSpPr/>
          </xdr:nvSpPr>
          <xdr:spPr>
            <a:xfrm>
              <a:off x="2814962" y="324172"/>
              <a:ext cx="127217" cy="127217"/>
            </a:xfrm>
            <a:prstGeom prst="ellipse">
              <a:avLst/>
            </a:prstGeom>
            <a:solidFill>
              <a:srgbClr val="FFCD2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3" name="Green">
              <a:extLst>
                <a:ext uri="{FF2B5EF4-FFF2-40B4-BE49-F238E27FC236}">
                  <a16:creationId xmlns:a16="http://schemas.microsoft.com/office/drawing/2014/main" id="{BF38B00A-9028-4A11-ABEF-095D3620621C}"/>
                </a:ext>
              </a:extLst>
            </xdr:cNvPr>
            <xdr:cNvSpPr/>
          </xdr:nvSpPr>
          <xdr:spPr>
            <a:xfrm>
              <a:off x="3002100" y="324172"/>
              <a:ext cx="127217" cy="127217"/>
            </a:xfrm>
            <a:prstGeom prst="ellipse">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grpSp>
        <xdr:nvGrpSpPr>
          <xdr:cNvPr id="5" name="Agrupar 4">
            <a:extLst>
              <a:ext uri="{FF2B5EF4-FFF2-40B4-BE49-F238E27FC236}">
                <a16:creationId xmlns:a16="http://schemas.microsoft.com/office/drawing/2014/main" id="{7FB9057E-71AB-43ED-989E-D885D96DF945}"/>
              </a:ext>
            </a:extLst>
          </xdr:cNvPr>
          <xdr:cNvGrpSpPr/>
        </xdr:nvGrpSpPr>
        <xdr:grpSpPr>
          <a:xfrm>
            <a:off x="1833508" y="389820"/>
            <a:ext cx="329011" cy="97201"/>
            <a:chOff x="1833508" y="389820"/>
            <a:chExt cx="329011" cy="97201"/>
          </a:xfrm>
        </xdr:grpSpPr>
        <xdr:pic>
          <xdr:nvPicPr>
            <xdr:cNvPr id="9" name="Back">
              <a:hlinkClick xmlns:r="http://schemas.openxmlformats.org/officeDocument/2006/relationships" r:id="rId2"/>
              <a:extLst>
                <a:ext uri="{FF2B5EF4-FFF2-40B4-BE49-F238E27FC236}">
                  <a16:creationId xmlns:a16="http://schemas.microsoft.com/office/drawing/2014/main" id="{20BDA2F1-9E84-4138-83B5-A6A8E02DB777}"/>
                </a:ext>
              </a:extLst>
            </xdr:cNvPr>
            <xdr:cNvPicPr>
              <a:picLocks/>
            </xdr:cNvPicPr>
          </xdr:nvPicPr>
          <xdr:blipFill>
            <a:blip xmlns:r="http://schemas.openxmlformats.org/officeDocument/2006/relationships" r:embed="rId3">
              <a:alphaModFix/>
              <a:extLst>
                <a:ext uri="{BEBA8EAE-BF5A-486C-A8C5-ECC9F3942E4B}">
                  <a14:imgProps xmlns:a14="http://schemas.microsoft.com/office/drawing/2010/main">
                    <a14:imgLayer r:embed="rId4">
                      <a14:imgEffect>
                        <a14:brightnessContrast bright="-12000"/>
                      </a14:imgEffect>
                    </a14:imgLayer>
                  </a14:imgProps>
                </a:ext>
              </a:extLst>
            </a:blip>
            <a:stretch>
              <a:fillRect/>
            </a:stretch>
          </xdr:blipFill>
          <xdr:spPr>
            <a:xfrm rot="5400000" flipH="1" flipV="1">
              <a:off x="2084634" y="409135"/>
              <a:ext cx="97200" cy="58570"/>
            </a:xfrm>
            <a:prstGeom prst="rect">
              <a:avLst/>
            </a:prstGeom>
          </xdr:spPr>
        </xdr:pic>
        <xdr:pic>
          <xdr:nvPicPr>
            <xdr:cNvPr id="10" name="Back">
              <a:extLst>
                <a:ext uri="{FF2B5EF4-FFF2-40B4-BE49-F238E27FC236}">
                  <a16:creationId xmlns:a16="http://schemas.microsoft.com/office/drawing/2014/main" id="{5505A279-C007-4314-9D45-947C9BA2F111}"/>
                </a:ext>
              </a:extLst>
            </xdr:cNvPr>
            <xdr:cNvPicPr>
              <a:picLocks/>
            </xdr:cNvPicPr>
          </xdr:nvPicPr>
          <xdr:blipFill>
            <a:blip xmlns:r="http://schemas.openxmlformats.org/officeDocument/2006/relationships" r:embed="rId3">
              <a:alphaModFix amt="50000"/>
              <a:extLst>
                <a:ext uri="{BEBA8EAE-BF5A-486C-A8C5-ECC9F3942E4B}">
                  <a14:imgProps xmlns:a14="http://schemas.microsoft.com/office/drawing/2010/main">
                    <a14:imgLayer r:embed="rId4">
                      <a14:imgEffect>
                        <a14:brightnessContrast bright="-12000"/>
                      </a14:imgEffect>
                    </a14:imgLayer>
                  </a14:imgProps>
                </a:ext>
              </a:extLst>
            </a:blip>
            <a:stretch>
              <a:fillRect/>
            </a:stretch>
          </xdr:blipFill>
          <xdr:spPr>
            <a:xfrm rot="16200000" flipV="1">
              <a:off x="1814193" y="409136"/>
              <a:ext cx="97200" cy="58570"/>
            </a:xfrm>
            <a:prstGeom prst="rect">
              <a:avLst/>
            </a:prstGeom>
          </xdr:spPr>
        </xdr:pic>
      </xdr:grpSp>
      <xdr:grpSp>
        <xdr:nvGrpSpPr>
          <xdr:cNvPr id="6" name="Task View">
            <a:extLst>
              <a:ext uri="{FF2B5EF4-FFF2-40B4-BE49-F238E27FC236}">
                <a16:creationId xmlns:a16="http://schemas.microsoft.com/office/drawing/2014/main" id="{63DDAFCD-F3C0-4B63-A189-EAEFA6453E28}"/>
              </a:ext>
            </a:extLst>
          </xdr:cNvPr>
          <xdr:cNvGrpSpPr/>
        </xdr:nvGrpSpPr>
        <xdr:grpSpPr>
          <a:xfrm>
            <a:off x="1301356" y="380253"/>
            <a:ext cx="300464" cy="116328"/>
            <a:chOff x="3375357" y="321863"/>
            <a:chExt cx="343050" cy="132816"/>
          </a:xfrm>
        </xdr:grpSpPr>
        <xdr:pic>
          <xdr:nvPicPr>
            <xdr:cNvPr id="7" name="Imagem 6">
              <a:extLst>
                <a:ext uri="{FF2B5EF4-FFF2-40B4-BE49-F238E27FC236}">
                  <a16:creationId xmlns:a16="http://schemas.microsoft.com/office/drawing/2014/main" id="{ABEEF9E8-7B2F-4BD1-9485-3DBFAFFAA6C4}"/>
                </a:ext>
              </a:extLst>
            </xdr:cNvPr>
            <xdr:cNvPicPr>
              <a:picLocks noChangeAspect="1"/>
            </xdr:cNvPicPr>
          </xdr:nvPicPr>
          <xdr:blipFill>
            <a:blip xmlns:r="http://schemas.openxmlformats.org/officeDocument/2006/relationships" r:embed="rId5"/>
            <a:stretch>
              <a:fillRect/>
            </a:stretch>
          </xdr:blipFill>
          <xdr:spPr>
            <a:xfrm>
              <a:off x="3642532" y="364642"/>
              <a:ext cx="75875" cy="45719"/>
            </a:xfrm>
            <a:prstGeom prst="rect">
              <a:avLst/>
            </a:prstGeom>
          </xdr:spPr>
        </xdr:pic>
        <xdr:pic>
          <xdr:nvPicPr>
            <xdr:cNvPr id="8" name="Imagem 7">
              <a:extLst>
                <a:ext uri="{FF2B5EF4-FFF2-40B4-BE49-F238E27FC236}">
                  <a16:creationId xmlns:a16="http://schemas.microsoft.com/office/drawing/2014/main" id="{F9C074ED-DF35-47D1-A485-427E1985AC29}"/>
                </a:ext>
              </a:extLst>
            </xdr:cNvPr>
            <xdr:cNvPicPr>
              <a:picLocks noChangeAspect="1"/>
            </xdr:cNvPicPr>
          </xdr:nvPicPr>
          <xdr:blipFill>
            <a:blip xmlns:r="http://schemas.openxmlformats.org/officeDocument/2006/relationships" r:embed="rId6"/>
            <a:stretch>
              <a:fillRect/>
            </a:stretch>
          </xdr:blipFill>
          <xdr:spPr>
            <a:xfrm>
              <a:off x="3375357" y="321863"/>
              <a:ext cx="169598" cy="132816"/>
            </a:xfrm>
            <a:prstGeom prst="rect">
              <a:avLst/>
            </a:prstGeom>
          </xdr:spPr>
        </xdr:pic>
      </xdr:grpSp>
    </xdr:grpSp>
    <xdr:clientData/>
  </xdr:twoCellAnchor>
  <xdr:twoCellAnchor editAs="absolute">
    <xdr:from>
      <xdr:col>11</xdr:col>
      <xdr:colOff>188325</xdr:colOff>
      <xdr:row>1</xdr:row>
      <xdr:rowOff>108650</xdr:rowOff>
    </xdr:from>
    <xdr:to>
      <xdr:col>26</xdr:col>
      <xdr:colOff>196641</xdr:colOff>
      <xdr:row>2</xdr:row>
      <xdr:rowOff>52542</xdr:rowOff>
    </xdr:to>
    <xdr:grpSp>
      <xdr:nvGrpSpPr>
        <xdr:cNvPr id="14" name="Window URL">
          <a:extLst>
            <a:ext uri="{FF2B5EF4-FFF2-40B4-BE49-F238E27FC236}">
              <a16:creationId xmlns:a16="http://schemas.microsoft.com/office/drawing/2014/main" id="{9CD7C635-6723-4AB5-AB32-B0E77DBDB227}"/>
            </a:ext>
          </a:extLst>
        </xdr:cNvPr>
        <xdr:cNvGrpSpPr>
          <a:grpSpLocks/>
        </xdr:cNvGrpSpPr>
      </xdr:nvGrpSpPr>
      <xdr:grpSpPr>
        <a:xfrm>
          <a:off x="4569825" y="461075"/>
          <a:ext cx="6009066" cy="296317"/>
          <a:chOff x="6248400" y="228600"/>
          <a:chExt cx="5857875" cy="285750"/>
        </a:xfrm>
      </xdr:grpSpPr>
      <xdr:grpSp>
        <xdr:nvGrpSpPr>
          <xdr:cNvPr id="15" name="Barra de endereço 2">
            <a:extLst>
              <a:ext uri="{FF2B5EF4-FFF2-40B4-BE49-F238E27FC236}">
                <a16:creationId xmlns:a16="http://schemas.microsoft.com/office/drawing/2014/main" id="{A648A25E-A4A0-4EBB-BAB6-0E07DA23A72B}"/>
              </a:ext>
            </a:extLst>
          </xdr:cNvPr>
          <xdr:cNvGrpSpPr/>
        </xdr:nvGrpSpPr>
        <xdr:grpSpPr>
          <a:xfrm>
            <a:off x="6248400" y="295275"/>
            <a:ext cx="1887075" cy="157129"/>
            <a:chOff x="6248400" y="295275"/>
            <a:chExt cx="1887075" cy="157129"/>
          </a:xfrm>
        </xdr:grpSpPr>
        <xdr:pic>
          <xdr:nvPicPr>
            <xdr:cNvPr id="21" name="URL SHIELD">
              <a:extLst>
                <a:ext uri="{FF2B5EF4-FFF2-40B4-BE49-F238E27FC236}">
                  <a16:creationId xmlns:a16="http://schemas.microsoft.com/office/drawing/2014/main" id="{81061DD3-8EC5-41CF-98DF-35323A7D6D3E}"/>
                </a:ext>
              </a:extLst>
            </xdr:cNvPr>
            <xdr:cNvPicPr>
              <a:picLocks noChangeArrowheads="1"/>
            </xdr:cNvPicPr>
          </xdr:nvPicPr>
          <xdr:blipFill>
            <a:blip xmlns:r="http://schemas.openxmlformats.org/officeDocument/2006/relationships" r:embed="rId7" cstate="print">
              <a:alphaModFix amt="50000"/>
              <a:extLst>
                <a:ext uri="{28A0092B-C50C-407E-A947-70E740481C1C}">
                  <a14:useLocalDpi xmlns:a14="http://schemas.microsoft.com/office/drawing/2010/main" val="0"/>
                </a:ext>
              </a:extLst>
            </a:blip>
            <a:srcRect/>
            <a:stretch>
              <a:fillRect/>
            </a:stretch>
          </xdr:blipFill>
          <xdr:spPr bwMode="auto">
            <a:xfrm>
              <a:off x="6248400" y="295275"/>
              <a:ext cx="170526" cy="15120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2" name="URL HTTP">
              <a:extLst>
                <a:ext uri="{FF2B5EF4-FFF2-40B4-BE49-F238E27FC236}">
                  <a16:creationId xmlns:a16="http://schemas.microsoft.com/office/drawing/2014/main" id="{968D8194-3808-45E1-9033-F7F104119AB1}"/>
                </a:ext>
              </a:extLst>
            </xdr:cNvPr>
            <xdr:cNvPicPr>
              <a:picLocks noChangeArrowheads="1"/>
            </xdr:cNvPicPr>
          </xdr:nvPicPr>
          <xdr:blipFill>
            <a:blip xmlns:r="http://schemas.openxmlformats.org/officeDocument/2006/relationships" r:embed="rId8" cstate="print">
              <a:alphaModFix amt="50000"/>
              <a:extLst>
                <a:ext uri="{28A0092B-C50C-407E-A947-70E740481C1C}">
                  <a14:useLocalDpi xmlns:a14="http://schemas.microsoft.com/office/drawing/2010/main" val="0"/>
                </a:ext>
              </a:extLst>
            </a:blip>
            <a:srcRect/>
            <a:stretch>
              <a:fillRect/>
            </a:stretch>
          </xdr:blipFill>
          <xdr:spPr bwMode="auto">
            <a:xfrm>
              <a:off x="7983075" y="300789"/>
              <a:ext cx="152400" cy="151615"/>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16" name="Barra de endereço">
            <a:extLst>
              <a:ext uri="{FF2B5EF4-FFF2-40B4-BE49-F238E27FC236}">
                <a16:creationId xmlns:a16="http://schemas.microsoft.com/office/drawing/2014/main" id="{EE935C9F-4A20-4492-8D6E-87B8F85DB32B}"/>
              </a:ext>
            </a:extLst>
          </xdr:cNvPr>
          <xdr:cNvGrpSpPr/>
        </xdr:nvGrpSpPr>
        <xdr:grpSpPr>
          <a:xfrm>
            <a:off x="6467475" y="228600"/>
            <a:ext cx="5638800" cy="285750"/>
            <a:chOff x="6467475" y="228600"/>
            <a:chExt cx="5638800" cy="285750"/>
          </a:xfrm>
        </xdr:grpSpPr>
        <xdr:sp macro="" textlink="">
          <xdr:nvSpPr>
            <xdr:cNvPr id="18" name="URL Text">
              <a:extLst>
                <a:ext uri="{FF2B5EF4-FFF2-40B4-BE49-F238E27FC236}">
                  <a16:creationId xmlns:a16="http://schemas.microsoft.com/office/drawing/2014/main" id="{58556049-BFA7-4615-A5B7-AB1AEEA307E7}"/>
                </a:ext>
              </a:extLst>
            </xdr:cNvPr>
            <xdr:cNvSpPr txBox="1"/>
          </xdr:nvSpPr>
          <xdr:spPr>
            <a:xfrm>
              <a:off x="6467475" y="228600"/>
              <a:ext cx="53721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solidFill>
                    <a:srgbClr val="4B4B4B"/>
                  </a:solidFill>
                  <a:latin typeface="Nirmala UI" panose="020B0502040204020203" pitchFamily="34" charset="0"/>
                  <a:ea typeface="Nirmala UI" panose="020B0502040204020203" pitchFamily="34" charset="0"/>
                  <a:cs typeface="Nirmala UI" panose="020B0502040204020203" pitchFamily="34" charset="0"/>
                </a:rPr>
                <a:t>lucasbonato.com.br/acomp/caixa</a:t>
              </a:r>
            </a:p>
          </xdr:txBody>
        </xdr:sp>
        <xdr:pic>
          <xdr:nvPicPr>
            <xdr:cNvPr id="19" name="URL Reload" descr="reload&quot; Icon - Download for free – Iconduck">
              <a:extLst>
                <a:ext uri="{FF2B5EF4-FFF2-40B4-BE49-F238E27FC236}">
                  <a16:creationId xmlns:a16="http://schemas.microsoft.com/office/drawing/2014/main" id="{73BC2CDB-D42D-4B3E-AEEF-BEFDDBD10253}"/>
                </a:ext>
              </a:extLst>
            </xdr:cNvPr>
            <xdr:cNvPicPr>
              <a:picLocks noChangeAspect="1" noChangeArrowheads="1"/>
            </xdr:cNvPicPr>
          </xdr:nvPicPr>
          <xdr:blipFill>
            <a:blip xmlns:r="http://schemas.openxmlformats.org/officeDocument/2006/relationships" r:embed="rId9" cstate="print">
              <a:alphaModFix amt="45000"/>
              <a:extLst>
                <a:ext uri="{28A0092B-C50C-407E-A947-70E740481C1C}">
                  <a14:useLocalDpi xmlns:a14="http://schemas.microsoft.com/office/drawing/2010/main" val="0"/>
                </a:ext>
              </a:extLst>
            </a:blip>
            <a:srcRect/>
            <a:stretch>
              <a:fillRect/>
            </a:stretch>
          </xdr:blipFill>
          <xdr:spPr bwMode="auto">
            <a:xfrm>
              <a:off x="11630025" y="314176"/>
              <a:ext cx="133350" cy="114598"/>
            </a:xfrm>
            <a:prstGeom prst="rect">
              <a:avLst/>
            </a:prstGeom>
            <a:noFill/>
            <a:effectLst/>
            <a:extLst>
              <a:ext uri="{909E8E84-426E-40DD-AFC4-6F175D3DCCD1}">
                <a14:hiddenFill xmlns:a14="http://schemas.microsoft.com/office/drawing/2010/main">
                  <a:solidFill>
                    <a:srgbClr val="FFFFFF"/>
                  </a:solidFill>
                </a14:hiddenFill>
              </a:ext>
            </a:extLst>
          </xdr:spPr>
        </xdr:pic>
        <xdr:pic>
          <xdr:nvPicPr>
            <xdr:cNvPr id="20" name="New Tab" descr="Plus Icon PNG Images, Vectors Free Download - Pngtree">
              <a:extLst>
                <a:ext uri="{FF2B5EF4-FFF2-40B4-BE49-F238E27FC236}">
                  <a16:creationId xmlns:a16="http://schemas.microsoft.com/office/drawing/2014/main" id="{96887ED2-A4A3-4712-A363-6E371AD46F08}"/>
                </a:ext>
              </a:extLst>
            </xdr:cNvPr>
            <xdr:cNvPicPr>
              <a:picLocks noChangeAspect="1" noChangeArrowheads="1"/>
            </xdr:cNvPicPr>
          </xdr:nvPicPr>
          <xdr:blipFill>
            <a:blip xmlns:r="http://schemas.openxmlformats.org/officeDocument/2006/relationships" r:embed="rId10" cstate="print">
              <a:alphaModFix amt="50000"/>
              <a:extLst>
                <a:ext uri="{BEBA8EAE-BF5A-486C-A8C5-ECC9F3942E4B}">
                  <a14:imgProps xmlns:a14="http://schemas.microsoft.com/office/drawing/2010/main">
                    <a14:imgLayer r:embed="rId11">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flipH="1">
              <a:off x="11896725" y="266700"/>
              <a:ext cx="209550" cy="20955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17" name="URL Bar">
            <a:extLst>
              <a:ext uri="{FF2B5EF4-FFF2-40B4-BE49-F238E27FC236}">
                <a16:creationId xmlns:a16="http://schemas.microsoft.com/office/drawing/2014/main" id="{967E65B0-31AF-4429-97BB-E194AE01A32E}"/>
              </a:ext>
            </a:extLst>
          </xdr:cNvPr>
          <xdr:cNvSpPr/>
        </xdr:nvSpPr>
        <xdr:spPr>
          <a:xfrm flipV="1">
            <a:off x="6481153" y="234376"/>
            <a:ext cx="5358422" cy="260923"/>
          </a:xfrm>
          <a:prstGeom prst="roundRect">
            <a:avLst>
              <a:gd name="adj" fmla="val 50000"/>
            </a:avLst>
          </a:prstGeom>
          <a:noFill/>
          <a:ln w="11430">
            <a:solidFill>
              <a:schemeClr val="bg1">
                <a:lumMod val="85000"/>
              </a:schemeClr>
            </a:solidFill>
          </a:ln>
          <a:effectLst>
            <a:glow rad="12700">
              <a:schemeClr val="accent3">
                <a:satMod val="175000"/>
                <a:alpha val="2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twoCellAnchor editAs="absolute">
    <xdr:from>
      <xdr:col>1</xdr:col>
      <xdr:colOff>14823</xdr:colOff>
      <xdr:row>2</xdr:row>
      <xdr:rowOff>259965</xdr:rowOff>
    </xdr:from>
    <xdr:to>
      <xdr:col>6</xdr:col>
      <xdr:colOff>220097</xdr:colOff>
      <xdr:row>25</xdr:row>
      <xdr:rowOff>274493</xdr:rowOff>
    </xdr:to>
    <xdr:sp macro="" textlink="">
      <xdr:nvSpPr>
        <xdr:cNvPr id="23" name="Barra Lateral">
          <a:hlinkClick xmlns:r="http://schemas.openxmlformats.org/officeDocument/2006/relationships" r:id="rId1" tooltip=" "/>
          <a:extLst>
            <a:ext uri="{FF2B5EF4-FFF2-40B4-BE49-F238E27FC236}">
              <a16:creationId xmlns:a16="http://schemas.microsoft.com/office/drawing/2014/main" id="{4C81C389-45FF-4A29-A190-4B65D7F54959}"/>
            </a:ext>
          </a:extLst>
        </xdr:cNvPr>
        <xdr:cNvSpPr>
          <a:spLocks/>
        </xdr:cNvSpPr>
      </xdr:nvSpPr>
      <xdr:spPr>
        <a:xfrm rot="16200000">
          <a:off x="-2609192" y="3988880"/>
          <a:ext cx="8253653" cy="2205524"/>
        </a:xfrm>
        <a:prstGeom prst="round2SameRect">
          <a:avLst>
            <a:gd name="adj1" fmla="val 6186"/>
            <a:gd name="adj2" fmla="val 0"/>
          </a:avLst>
        </a:prstGeom>
        <a:solidFill>
          <a:schemeClr val="bg1"/>
        </a:solidFill>
        <a:ln>
          <a:noFill/>
        </a:ln>
        <a:effectLst>
          <a:outerShdw blurRad="190500" dist="127000" algn="t" rotWithShape="0">
            <a:schemeClr val="tx1">
              <a:lumMod val="85000"/>
              <a:lumOff val="15000"/>
              <a:alpha val="8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clientData/>
  </xdr:twoCellAnchor>
  <xdr:twoCellAnchor editAs="absolute">
    <xdr:from>
      <xdr:col>7</xdr:col>
      <xdr:colOff>173131</xdr:colOff>
      <xdr:row>8</xdr:row>
      <xdr:rowOff>200745</xdr:rowOff>
    </xdr:from>
    <xdr:to>
      <xdr:col>29</xdr:col>
      <xdr:colOff>0</xdr:colOff>
      <xdr:row>22</xdr:row>
      <xdr:rowOff>291525</xdr:rowOff>
    </xdr:to>
    <xdr:grpSp>
      <xdr:nvGrpSpPr>
        <xdr:cNvPr id="25" name="Agrupar 24">
          <a:extLst>
            <a:ext uri="{FF2B5EF4-FFF2-40B4-BE49-F238E27FC236}">
              <a16:creationId xmlns:a16="http://schemas.microsoft.com/office/drawing/2014/main" id="{20FBFC86-144C-402F-9C06-9FF9D5EDF289}"/>
            </a:ext>
          </a:extLst>
        </xdr:cNvPr>
        <xdr:cNvGrpSpPr>
          <a:grpSpLocks/>
        </xdr:cNvGrpSpPr>
      </xdr:nvGrpSpPr>
      <xdr:grpSpPr>
        <a:xfrm>
          <a:off x="2954431" y="3020145"/>
          <a:ext cx="8627969" cy="5024730"/>
          <a:chOff x="4867275" y="3827285"/>
          <a:chExt cx="7090607" cy="4845541"/>
        </a:xfrm>
      </xdr:grpSpPr>
      <xdr:sp macro="" textlink="">
        <xdr:nvSpPr>
          <xdr:cNvPr id="27" name="Background - Aba">
            <a:extLst>
              <a:ext uri="{FF2B5EF4-FFF2-40B4-BE49-F238E27FC236}">
                <a16:creationId xmlns:a16="http://schemas.microsoft.com/office/drawing/2014/main" id="{08E6DB71-749D-43B7-90C6-C59DBCD2EA0E}"/>
              </a:ext>
            </a:extLst>
          </xdr:cNvPr>
          <xdr:cNvSpPr/>
        </xdr:nvSpPr>
        <xdr:spPr>
          <a:xfrm>
            <a:off x="4879179" y="3836811"/>
            <a:ext cx="7074696" cy="4836015"/>
          </a:xfrm>
          <a:prstGeom prst="roundRect">
            <a:avLst>
              <a:gd name="adj" fmla="val 2115"/>
            </a:avLst>
          </a:prstGeom>
          <a:solidFill>
            <a:schemeClr val="bg1"/>
          </a:solidFill>
          <a:ln>
            <a:noFill/>
          </a:ln>
          <a:effectLst>
            <a:outerShdw blurRad="889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BR" sz="1100"/>
          </a:p>
        </xdr:txBody>
      </xdr:sp>
      <xdr:grpSp>
        <xdr:nvGrpSpPr>
          <xdr:cNvPr id="28" name="Agrupar 27">
            <a:extLst>
              <a:ext uri="{FF2B5EF4-FFF2-40B4-BE49-F238E27FC236}">
                <a16:creationId xmlns:a16="http://schemas.microsoft.com/office/drawing/2014/main" id="{F7B2FF48-1031-4F83-B0C5-69BEE5958D7C}"/>
              </a:ext>
            </a:extLst>
          </xdr:cNvPr>
          <xdr:cNvGrpSpPr/>
        </xdr:nvGrpSpPr>
        <xdr:grpSpPr>
          <a:xfrm>
            <a:off x="4867275" y="3827285"/>
            <a:ext cx="7090607" cy="571500"/>
            <a:chOff x="4867275" y="3827285"/>
            <a:chExt cx="7090607" cy="571500"/>
          </a:xfrm>
        </xdr:grpSpPr>
        <xdr:cxnSp macro="">
          <xdr:nvCxnSpPr>
            <xdr:cNvPr id="29" name="Linha - Gray">
              <a:extLst>
                <a:ext uri="{FF2B5EF4-FFF2-40B4-BE49-F238E27FC236}">
                  <a16:creationId xmlns:a16="http://schemas.microsoft.com/office/drawing/2014/main" id="{28E62D24-463A-4962-B2B1-EF39D4F5E50C}"/>
                </a:ext>
              </a:extLst>
            </xdr:cNvPr>
            <xdr:cNvCxnSpPr/>
          </xdr:nvCxnSpPr>
          <xdr:spPr>
            <a:xfrm>
              <a:off x="4867275" y="4333875"/>
              <a:ext cx="7090607" cy="0"/>
            </a:xfrm>
            <a:prstGeom prst="line">
              <a:avLst/>
            </a:prstGeom>
            <a:ln w="9525">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30" name="Text - Fat. Comparativo">
              <a:extLst>
                <a:ext uri="{FF2B5EF4-FFF2-40B4-BE49-F238E27FC236}">
                  <a16:creationId xmlns:a16="http://schemas.microsoft.com/office/drawing/2014/main" id="{D3A67B6A-F42D-464A-AEE3-F57400C6DA6E}"/>
                </a:ext>
              </a:extLst>
            </xdr:cNvPr>
            <xdr:cNvSpPr txBox="1"/>
          </xdr:nvSpPr>
          <xdr:spPr>
            <a:xfrm>
              <a:off x="4900003" y="3827285"/>
              <a:ext cx="2567598"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0" baseline="0">
                  <a:solidFill>
                    <a:schemeClr val="tx1">
                      <a:lumMod val="85000"/>
                      <a:lumOff val="15000"/>
                    </a:schemeClr>
                  </a:solidFill>
                  <a:latin typeface="Gadugi" panose="020B0502040204020203" pitchFamily="34" charset="0"/>
                  <a:ea typeface="Gadugi" panose="020B0502040204020203" pitchFamily="34" charset="0"/>
                  <a:cs typeface="Lucida Sans Unicode" panose="020B0602030504020204" pitchFamily="34" charset="0"/>
                </a:rPr>
                <a:t> Fluxo de Caixa</a:t>
              </a:r>
              <a:endParaRPr lang="pt-BR" sz="1100" b="0">
                <a:solidFill>
                  <a:schemeClr val="tx1">
                    <a:lumMod val="85000"/>
                    <a:lumOff val="15000"/>
                  </a:schemeClr>
                </a:solidFill>
                <a:latin typeface="Gadugi" panose="020B0502040204020203" pitchFamily="34" charset="0"/>
                <a:ea typeface="Gadugi" panose="020B0502040204020203" pitchFamily="34" charset="0"/>
                <a:cs typeface="Lucida Sans Unicode" panose="020B0602030504020204" pitchFamily="34" charset="0"/>
              </a:endParaRPr>
            </a:p>
          </xdr:txBody>
        </xdr:sp>
      </xdr:grpSp>
    </xdr:grpSp>
    <xdr:clientData/>
  </xdr:twoCellAnchor>
  <xdr:twoCellAnchor editAs="absolute">
    <xdr:from>
      <xdr:col>1</xdr:col>
      <xdr:colOff>19768</xdr:colOff>
      <xdr:row>2</xdr:row>
      <xdr:rowOff>131560</xdr:rowOff>
    </xdr:from>
    <xdr:to>
      <xdr:col>36</xdr:col>
      <xdr:colOff>247650</xdr:colOff>
      <xdr:row>4</xdr:row>
      <xdr:rowOff>4634</xdr:rowOff>
    </xdr:to>
    <xdr:grpSp>
      <xdr:nvGrpSpPr>
        <xdr:cNvPr id="71" name="Agrupar 70">
          <a:extLst>
            <a:ext uri="{FF2B5EF4-FFF2-40B4-BE49-F238E27FC236}">
              <a16:creationId xmlns:a16="http://schemas.microsoft.com/office/drawing/2014/main" id="{5ACB9AD9-D162-46E7-87B0-E48520444334}"/>
            </a:ext>
          </a:extLst>
        </xdr:cNvPr>
        <xdr:cNvGrpSpPr>
          <a:grpSpLocks/>
        </xdr:cNvGrpSpPr>
      </xdr:nvGrpSpPr>
      <xdr:grpSpPr>
        <a:xfrm>
          <a:off x="419818" y="836410"/>
          <a:ext cx="14382032" cy="577924"/>
          <a:chOff x="2404452" y="600073"/>
          <a:chExt cx="13959497" cy="552451"/>
        </a:xfrm>
      </xdr:grpSpPr>
      <xdr:grpSp>
        <xdr:nvGrpSpPr>
          <xdr:cNvPr id="72" name="Agrupar 71">
            <a:extLst>
              <a:ext uri="{FF2B5EF4-FFF2-40B4-BE49-F238E27FC236}">
                <a16:creationId xmlns:a16="http://schemas.microsoft.com/office/drawing/2014/main" id="{1AD49D6C-B9CA-41F6-9A89-2FD647D63517}"/>
              </a:ext>
            </a:extLst>
          </xdr:cNvPr>
          <xdr:cNvGrpSpPr/>
        </xdr:nvGrpSpPr>
        <xdr:grpSpPr>
          <a:xfrm>
            <a:off x="2404452" y="600073"/>
            <a:ext cx="13959497" cy="552451"/>
            <a:chOff x="2404452" y="600073"/>
            <a:chExt cx="13959497" cy="552451"/>
          </a:xfrm>
        </xdr:grpSpPr>
        <xdr:sp macro="" textlink="">
          <xdr:nvSpPr>
            <xdr:cNvPr id="80" name="Background">
              <a:extLst>
                <a:ext uri="{FF2B5EF4-FFF2-40B4-BE49-F238E27FC236}">
                  <a16:creationId xmlns:a16="http://schemas.microsoft.com/office/drawing/2014/main" id="{585CEE9E-7B3D-43AC-936F-90CD6CF2DC6F}"/>
                </a:ext>
              </a:extLst>
            </xdr:cNvPr>
            <xdr:cNvSpPr/>
          </xdr:nvSpPr>
          <xdr:spPr>
            <a:xfrm>
              <a:off x="2404452" y="600073"/>
              <a:ext cx="13959497" cy="552451"/>
            </a:xfrm>
            <a:prstGeom prst="rect">
              <a:avLst/>
            </a:prstGeom>
            <a:solidFill>
              <a:srgbClr val="F8F8F8"/>
            </a:solidFill>
            <a:ln>
              <a:noFill/>
            </a:ln>
            <a:effectLst>
              <a:outerShdw blurRad="190500" dist="127000" dir="5400000" algn="t" rotWithShape="0">
                <a:schemeClr val="tx1">
                  <a:lumMod val="85000"/>
                  <a:lumOff val="15000"/>
                  <a:alpha val="1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81" name="Tabs Gray">
              <a:extLst>
                <a:ext uri="{FF2B5EF4-FFF2-40B4-BE49-F238E27FC236}">
                  <a16:creationId xmlns:a16="http://schemas.microsoft.com/office/drawing/2014/main" id="{C88B8FA4-2F5D-4373-851F-066C4A1B8AE2}"/>
                </a:ext>
              </a:extLst>
            </xdr:cNvPr>
            <xdr:cNvPicPr>
              <a:picLocks noChangeAspect="1"/>
            </xdr:cNvPicPr>
          </xdr:nvPicPr>
          <xdr:blipFill>
            <a:blip xmlns:r="http://schemas.openxmlformats.org/officeDocument/2006/relationships" r:embed="rId12">
              <a:alphaModFix amt="85000"/>
              <a:extLst>
                <a:ext uri="{BEBA8EAE-BF5A-486C-A8C5-ECC9F3942E4B}">
                  <a14:imgProps xmlns:a14="http://schemas.microsoft.com/office/drawing/2010/main">
                    <a14:imgLayer r:embed="rId13">
                      <a14:imgEffect>
                        <a14:brightnessContrast contrast="-100000"/>
                      </a14:imgEffect>
                    </a14:imgLayer>
                  </a14:imgProps>
                </a:ext>
              </a:extLst>
            </a:blip>
            <a:stretch>
              <a:fillRect/>
            </a:stretch>
          </xdr:blipFill>
          <xdr:spPr>
            <a:xfrm>
              <a:off x="15922426" y="809841"/>
              <a:ext cx="203400" cy="132915"/>
            </a:xfrm>
            <a:prstGeom prst="rect">
              <a:avLst/>
            </a:prstGeom>
          </xdr:spPr>
        </xdr:pic>
        <xdr:cxnSp macro="">
          <xdr:nvCxnSpPr>
            <xdr:cNvPr id="82" name="UI Splitter 2">
              <a:extLst>
                <a:ext uri="{FF2B5EF4-FFF2-40B4-BE49-F238E27FC236}">
                  <a16:creationId xmlns:a16="http://schemas.microsoft.com/office/drawing/2014/main" id="{CFA0F36E-BABE-4D08-BE4D-B982F941929F}"/>
                </a:ext>
              </a:extLst>
            </xdr:cNvPr>
            <xdr:cNvCxnSpPr/>
          </xdr:nvCxnSpPr>
          <xdr:spPr>
            <a:xfrm>
              <a:off x="15725775" y="766761"/>
              <a:ext cx="0" cy="21907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3" name="UI Splitter 1">
              <a:extLst>
                <a:ext uri="{FF2B5EF4-FFF2-40B4-BE49-F238E27FC236}">
                  <a16:creationId xmlns:a16="http://schemas.microsoft.com/office/drawing/2014/main" id="{2076E7FE-D94A-4B15-BF64-553596609B79}"/>
                </a:ext>
              </a:extLst>
            </xdr:cNvPr>
            <xdr:cNvCxnSpPr/>
          </xdr:nvCxnSpPr>
          <xdr:spPr>
            <a:xfrm>
              <a:off x="14426505" y="766761"/>
              <a:ext cx="0" cy="21907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grpSp>
      <xdr:pic>
        <xdr:nvPicPr>
          <xdr:cNvPr id="73" name="Tabs Blue">
            <a:extLst>
              <a:ext uri="{FF2B5EF4-FFF2-40B4-BE49-F238E27FC236}">
                <a16:creationId xmlns:a16="http://schemas.microsoft.com/office/drawing/2014/main" id="{BF36C458-F1BA-4470-A8E0-93628297645B}"/>
              </a:ext>
            </a:extLst>
          </xdr:cNvPr>
          <xdr:cNvPicPr>
            <a:picLocks noChangeAspect="1"/>
          </xdr:cNvPicPr>
        </xdr:nvPicPr>
        <xdr:blipFill>
          <a:blip xmlns:r="http://schemas.openxmlformats.org/officeDocument/2006/relationships" r:embed="rId14">
            <a:alphaModFix amt="85000"/>
            <a:duotone>
              <a:prstClr val="black"/>
              <a:srgbClr val="86754D">
                <a:tint val="45000"/>
                <a:satMod val="400000"/>
              </a:srgbClr>
            </a:duotone>
            <a:extLst>
              <a:ext uri="{BEBA8EAE-BF5A-486C-A8C5-ECC9F3942E4B}">
                <a14:imgProps xmlns:a14="http://schemas.microsoft.com/office/drawing/2010/main">
                  <a14:imgLayer r:embed="rId13">
                    <a14:imgEffect>
                      <a14:colorTemperature colorTemp="11200"/>
                    </a14:imgEffect>
                  </a14:imgLayer>
                </a14:imgProps>
              </a:ext>
            </a:extLst>
          </a:blip>
          <a:stretch>
            <a:fillRect/>
          </a:stretch>
        </xdr:blipFill>
        <xdr:spPr>
          <a:xfrm>
            <a:off x="4101901" y="809841"/>
            <a:ext cx="203400" cy="132915"/>
          </a:xfrm>
          <a:prstGeom prst="rect">
            <a:avLst/>
          </a:prstGeom>
        </xdr:spPr>
      </xdr:pic>
      <xdr:grpSp>
        <xdr:nvGrpSpPr>
          <xdr:cNvPr id="74" name="Agrupar 73">
            <a:extLst>
              <a:ext uri="{FF2B5EF4-FFF2-40B4-BE49-F238E27FC236}">
                <a16:creationId xmlns:a16="http://schemas.microsoft.com/office/drawing/2014/main" id="{5C5E5EC7-5583-40E7-AA56-0D1EF5CD34DC}"/>
              </a:ext>
            </a:extLst>
          </xdr:cNvPr>
          <xdr:cNvGrpSpPr/>
        </xdr:nvGrpSpPr>
        <xdr:grpSpPr>
          <a:xfrm>
            <a:off x="15344775" y="757236"/>
            <a:ext cx="238125" cy="238125"/>
            <a:chOff x="15354300" y="752475"/>
            <a:chExt cx="238125" cy="238125"/>
          </a:xfrm>
        </xdr:grpSpPr>
        <xdr:sp macro="" textlink="">
          <xdr:nvSpPr>
            <xdr:cNvPr id="78" name="Calendar Back Squicle">
              <a:extLst>
                <a:ext uri="{FF2B5EF4-FFF2-40B4-BE49-F238E27FC236}">
                  <a16:creationId xmlns:a16="http://schemas.microsoft.com/office/drawing/2014/main" id="{900B4DCA-4940-4492-B086-704853496362}"/>
                </a:ext>
              </a:extLst>
            </xdr:cNvPr>
            <xdr:cNvSpPr/>
          </xdr:nvSpPr>
          <xdr:spPr>
            <a:xfrm>
              <a:off x="15354300" y="752475"/>
              <a:ext cx="238125" cy="238125"/>
            </a:xfrm>
            <a:prstGeom prst="roundRect">
              <a:avLst>
                <a:gd name="adj" fmla="val 24667"/>
              </a:avLst>
            </a:prstGeom>
            <a:solidFill>
              <a:schemeClr val="accent1">
                <a:lumMod val="75000"/>
                <a:alpha val="78824"/>
              </a:schemeClr>
            </a:solidFill>
            <a:ln>
              <a:noFill/>
            </a:ln>
            <a:effectLst>
              <a:outerShdw blurRad="76200" dist="12700" dir="5400000" sx="83000" sy="83000" rotWithShape="0">
                <a:schemeClr val="accent1">
                  <a:lumMod val="50000"/>
                  <a:alpha val="95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BR" sz="1100"/>
            </a:p>
          </xdr:txBody>
        </xdr:sp>
        <xdr:pic>
          <xdr:nvPicPr>
            <xdr:cNvPr id="79" name="Calendar">
              <a:extLst>
                <a:ext uri="{FF2B5EF4-FFF2-40B4-BE49-F238E27FC236}">
                  <a16:creationId xmlns:a16="http://schemas.microsoft.com/office/drawing/2014/main" id="{639E8319-01F1-4019-876E-921094AE2295}"/>
                </a:ext>
              </a:extLst>
            </xdr:cNvPr>
            <xdr:cNvPicPr>
              <a:picLocks noChangeAspect="1"/>
            </xdr:cNvPicPr>
          </xdr:nvPicPr>
          <xdr:blipFill>
            <a:blip xmlns:r="http://schemas.openxmlformats.org/officeDocument/2006/relationships" r:embed="rId15"/>
            <a:stretch>
              <a:fillRect/>
            </a:stretch>
          </xdr:blipFill>
          <xdr:spPr>
            <a:xfrm>
              <a:off x="15395478" y="789232"/>
              <a:ext cx="163268" cy="163268"/>
            </a:xfrm>
            <a:prstGeom prst="rect">
              <a:avLst/>
            </a:prstGeom>
          </xdr:spPr>
        </xdr:pic>
      </xdr:grpSp>
      <xdr:grpSp>
        <xdr:nvGrpSpPr>
          <xdr:cNvPr id="75" name="Agrupar 74">
            <a:extLst>
              <a:ext uri="{FF2B5EF4-FFF2-40B4-BE49-F238E27FC236}">
                <a16:creationId xmlns:a16="http://schemas.microsoft.com/office/drawing/2014/main" id="{79689E8B-F4B9-43CA-AFEF-DF15178B9364}"/>
              </a:ext>
            </a:extLst>
          </xdr:cNvPr>
          <xdr:cNvGrpSpPr/>
        </xdr:nvGrpSpPr>
        <xdr:grpSpPr>
          <a:xfrm>
            <a:off x="4619625" y="742948"/>
            <a:ext cx="266700" cy="266700"/>
            <a:chOff x="4762500" y="723900"/>
            <a:chExt cx="323850" cy="323850"/>
          </a:xfrm>
        </xdr:grpSpPr>
        <xdr:sp macro="" textlink="">
          <xdr:nvSpPr>
            <xdr:cNvPr id="76" name="Search Back Sphere">
              <a:extLst>
                <a:ext uri="{FF2B5EF4-FFF2-40B4-BE49-F238E27FC236}">
                  <a16:creationId xmlns:a16="http://schemas.microsoft.com/office/drawing/2014/main" id="{81D51481-FA99-4269-B849-D3EAABF5B58C}"/>
                </a:ext>
              </a:extLst>
            </xdr:cNvPr>
            <xdr:cNvSpPr/>
          </xdr:nvSpPr>
          <xdr:spPr>
            <a:xfrm>
              <a:off x="4762500" y="723900"/>
              <a:ext cx="323850" cy="323850"/>
            </a:xfrm>
            <a:prstGeom prst="ellipse">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BR" sz="1100"/>
            </a:p>
          </xdr:txBody>
        </xdr:sp>
        <xdr:pic>
          <xdr:nvPicPr>
            <xdr:cNvPr id="77" name="Search" descr="Search - Free ui icons">
              <a:extLst>
                <a:ext uri="{FF2B5EF4-FFF2-40B4-BE49-F238E27FC236}">
                  <a16:creationId xmlns:a16="http://schemas.microsoft.com/office/drawing/2014/main" id="{52C59B8F-2F62-4D42-9F37-F8B196C8CF91}"/>
                </a:ext>
              </a:extLst>
            </xdr:cNvPr>
            <xdr:cNvPicPr>
              <a:picLocks noChangeAspect="1" noChangeArrowheads="1"/>
            </xdr:cNvPicPr>
          </xdr:nvPicPr>
          <xdr:blipFill>
            <a:blip xmlns:r="http://schemas.openxmlformats.org/officeDocument/2006/relationships" r:embed="rId16" cstate="print">
              <a:duotone>
                <a:prstClr val="black"/>
                <a:srgbClr val="3F3725">
                  <a:tint val="45000"/>
                  <a:satMod val="400000"/>
                </a:srgbClr>
              </a:duotone>
              <a:extLst>
                <a:ext uri="{BEBA8EAE-BF5A-486C-A8C5-ECC9F3942E4B}">
                  <a14:imgProps xmlns:a14="http://schemas.microsoft.com/office/drawing/2010/main">
                    <a14:imgLayer r:embed="rId17">
                      <a14:imgEffect>
                        <a14:colorTemperature colorTemp="2500"/>
                      </a14:imgEffect>
                      <a14:imgEffect>
                        <a14:brightnessContrast bright="9000" contrast="-81000"/>
                      </a14:imgEffect>
                    </a14:imgLayer>
                  </a14:imgProps>
                </a:ext>
                <a:ext uri="{28A0092B-C50C-407E-A947-70E740481C1C}">
                  <a14:useLocalDpi xmlns:a14="http://schemas.microsoft.com/office/drawing/2010/main" val="0"/>
                </a:ext>
              </a:extLst>
            </a:blip>
            <a:srcRect/>
            <a:stretch>
              <a:fillRect/>
            </a:stretch>
          </xdr:blipFill>
          <xdr:spPr bwMode="auto">
            <a:xfrm flipH="1">
              <a:off x="4848226" y="809626"/>
              <a:ext cx="152400" cy="152400"/>
            </a:xfrm>
            <a:prstGeom prst="rect">
              <a:avLst/>
            </a:prstGeom>
            <a:noFill/>
            <a:extLst>
              <a:ext uri="{909E8E84-426E-40DD-AFC4-6F175D3DCCD1}">
                <a14:hiddenFill xmlns:a14="http://schemas.microsoft.com/office/drawing/2010/main">
                  <a:solidFill>
                    <a:srgbClr val="FFFFFF"/>
                  </a:solidFill>
                </a14:hiddenFill>
              </a:ext>
            </a:extLst>
          </xdr:spPr>
        </xdr:pic>
      </xdr:grpSp>
    </xdr:grpSp>
    <xdr:clientData/>
  </xdr:twoCellAnchor>
  <xdr:twoCellAnchor editAs="absolute">
    <xdr:from>
      <xdr:col>32</xdr:col>
      <xdr:colOff>284724</xdr:colOff>
      <xdr:row>2</xdr:row>
      <xdr:rowOff>338985</xdr:rowOff>
    </xdr:from>
    <xdr:to>
      <xdr:col>34</xdr:col>
      <xdr:colOff>242955</xdr:colOff>
      <xdr:row>3</xdr:row>
      <xdr:rowOff>308144</xdr:rowOff>
    </xdr:to>
    <xdr:sp macro="" textlink="">
      <xdr:nvSpPr>
        <xdr:cNvPr id="84" name="UserFunction">
          <a:extLst>
            <a:ext uri="{FF2B5EF4-FFF2-40B4-BE49-F238E27FC236}">
              <a16:creationId xmlns:a16="http://schemas.microsoft.com/office/drawing/2014/main" id="{0BC099AC-F3E1-49DE-949C-51C842618F02}"/>
            </a:ext>
          </a:extLst>
        </xdr:cNvPr>
        <xdr:cNvSpPr txBox="1">
          <a:spLocks/>
        </xdr:cNvSpPr>
      </xdr:nvSpPr>
      <xdr:spPr>
        <a:xfrm>
          <a:off x="13067274" y="1043835"/>
          <a:ext cx="758331" cy="321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pt-BR" sz="900" b="0">
              <a:solidFill>
                <a:schemeClr val="bg1">
                  <a:lumMod val="50000"/>
                </a:schemeClr>
              </a:solidFill>
              <a:latin typeface="Gadugi" panose="020B0502040204020203" pitchFamily="34" charset="0"/>
              <a:ea typeface="Gadugi" panose="020B0502040204020203" pitchFamily="34" charset="0"/>
              <a:cs typeface="+mn-cs"/>
            </a:rPr>
            <a:t>Lucas</a:t>
          </a:r>
          <a:r>
            <a:rPr lang="pt-BR" sz="900" b="0" baseline="0">
              <a:solidFill>
                <a:schemeClr val="bg1">
                  <a:lumMod val="50000"/>
                </a:schemeClr>
              </a:solidFill>
              <a:latin typeface="Gadugi" panose="020B0502040204020203" pitchFamily="34" charset="0"/>
              <a:ea typeface="Gadugi" panose="020B0502040204020203" pitchFamily="34" charset="0"/>
              <a:cs typeface="+mn-cs"/>
            </a:rPr>
            <a:t> G.</a:t>
          </a:r>
          <a:endParaRPr lang="pt-BR" sz="900" b="0">
            <a:solidFill>
              <a:schemeClr val="bg1">
                <a:lumMod val="50000"/>
              </a:schemeClr>
            </a:solidFill>
            <a:latin typeface="Gadugi" panose="020B0502040204020203" pitchFamily="34" charset="0"/>
            <a:ea typeface="Gadugi" panose="020B0502040204020203" pitchFamily="34" charset="0"/>
            <a:cs typeface="+mn-cs"/>
          </a:endParaRPr>
        </a:p>
      </xdr:txBody>
    </xdr:sp>
    <xdr:clientData/>
  </xdr:twoCellAnchor>
  <xdr:twoCellAnchor editAs="absolute">
    <xdr:from>
      <xdr:col>32</xdr:col>
      <xdr:colOff>284724</xdr:colOff>
      <xdr:row>2</xdr:row>
      <xdr:rowOff>180949</xdr:rowOff>
    </xdr:from>
    <xdr:to>
      <xdr:col>34</xdr:col>
      <xdr:colOff>234366</xdr:colOff>
      <xdr:row>3</xdr:row>
      <xdr:rowOff>150108</xdr:rowOff>
    </xdr:to>
    <xdr:sp macro="" textlink="">
      <xdr:nvSpPr>
        <xdr:cNvPr id="85" name="UserName">
          <a:extLst>
            <a:ext uri="{FF2B5EF4-FFF2-40B4-BE49-F238E27FC236}">
              <a16:creationId xmlns:a16="http://schemas.microsoft.com/office/drawing/2014/main" id="{BE18A3CE-CCB2-4FB5-A44A-3453BADA3EB7}"/>
            </a:ext>
          </a:extLst>
        </xdr:cNvPr>
        <xdr:cNvSpPr txBox="1">
          <a:spLocks/>
        </xdr:cNvSpPr>
      </xdr:nvSpPr>
      <xdr:spPr>
        <a:xfrm>
          <a:off x="13067274" y="885799"/>
          <a:ext cx="749742" cy="321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pt-BR" sz="900" b="1">
              <a:solidFill>
                <a:schemeClr val="tx1">
                  <a:lumMod val="75000"/>
                  <a:lumOff val="25000"/>
                </a:schemeClr>
              </a:solidFill>
              <a:latin typeface="Gadugi" panose="020B0502040204020203" pitchFamily="34" charset="0"/>
              <a:ea typeface="Gadugi" panose="020B0502040204020203" pitchFamily="34" charset="0"/>
              <a:cs typeface="+mn-cs"/>
            </a:rPr>
            <a:t>Bonato</a:t>
          </a:r>
        </a:p>
      </xdr:txBody>
    </xdr:sp>
    <xdr:clientData/>
  </xdr:twoCellAnchor>
  <xdr:twoCellAnchor editAs="absolute">
    <xdr:from>
      <xdr:col>32</xdr:col>
      <xdr:colOff>169702</xdr:colOff>
      <xdr:row>3</xdr:row>
      <xdr:rowOff>60093</xdr:rowOff>
    </xdr:from>
    <xdr:to>
      <xdr:col>32</xdr:col>
      <xdr:colOff>244169</xdr:colOff>
      <xdr:row>3</xdr:row>
      <xdr:rowOff>105083</xdr:rowOff>
    </xdr:to>
    <xdr:pic>
      <xdr:nvPicPr>
        <xdr:cNvPr id="86" name="Change Account">
          <a:extLst>
            <a:ext uri="{FF2B5EF4-FFF2-40B4-BE49-F238E27FC236}">
              <a16:creationId xmlns:a16="http://schemas.microsoft.com/office/drawing/2014/main" id="{075DFA39-11C5-4980-9D42-42B65B02FC3D}"/>
            </a:ext>
          </a:extLst>
        </xdr:cNvPr>
        <xdr:cNvPicPr>
          <a:picLocks/>
        </xdr:cNvPicPr>
      </xdr:nvPicPr>
      <xdr:blipFill>
        <a:blip xmlns:r="http://schemas.openxmlformats.org/officeDocument/2006/relationships" r:embed="rId3">
          <a:alphaModFix/>
          <a:extLst>
            <a:ext uri="{BEBA8EAE-BF5A-486C-A8C5-ECC9F3942E4B}">
              <a14:imgProps xmlns:a14="http://schemas.microsoft.com/office/drawing/2010/main">
                <a14:imgLayer r:embed="rId4">
                  <a14:imgEffect>
                    <a14:brightnessContrast bright="-12000"/>
                  </a14:imgEffect>
                </a14:imgLayer>
              </a14:imgProps>
            </a:ext>
          </a:extLst>
        </a:blip>
        <a:stretch>
          <a:fillRect/>
        </a:stretch>
      </xdr:blipFill>
      <xdr:spPr>
        <a:xfrm rot="10800000" flipV="1">
          <a:off x="12952252" y="1117368"/>
          <a:ext cx="74467" cy="44990"/>
        </a:xfrm>
        <a:prstGeom prst="rect">
          <a:avLst/>
        </a:prstGeom>
      </xdr:spPr>
    </xdr:pic>
    <xdr:clientData/>
  </xdr:twoCellAnchor>
  <xdr:twoCellAnchor editAs="absolute">
    <xdr:from>
      <xdr:col>7</xdr:col>
      <xdr:colOff>310346</xdr:colOff>
      <xdr:row>4</xdr:row>
      <xdr:rowOff>295275</xdr:rowOff>
    </xdr:from>
    <xdr:to>
      <xdr:col>17</xdr:col>
      <xdr:colOff>0</xdr:colOff>
      <xdr:row>5</xdr:row>
      <xdr:rowOff>302059</xdr:rowOff>
    </xdr:to>
    <xdr:grpSp>
      <xdr:nvGrpSpPr>
        <xdr:cNvPr id="94" name="Agrupar 93">
          <a:extLst>
            <a:ext uri="{FF2B5EF4-FFF2-40B4-BE49-F238E27FC236}">
              <a16:creationId xmlns:a16="http://schemas.microsoft.com/office/drawing/2014/main" id="{CEA8DA5B-69E0-4C01-828D-6E2C95E3B35C}"/>
            </a:ext>
          </a:extLst>
        </xdr:cNvPr>
        <xdr:cNvGrpSpPr>
          <a:grpSpLocks/>
        </xdr:cNvGrpSpPr>
      </xdr:nvGrpSpPr>
      <xdr:grpSpPr>
        <a:xfrm>
          <a:off x="3091646" y="1704975"/>
          <a:ext cx="3690154" cy="359209"/>
          <a:chOff x="4960726" y="1537532"/>
          <a:chExt cx="2616366" cy="252812"/>
        </a:xfrm>
      </xdr:grpSpPr>
      <xdr:sp macro="" textlink="">
        <xdr:nvSpPr>
          <xdr:cNvPr id="95" name="Dashboard - Name">
            <a:extLst>
              <a:ext uri="{FF2B5EF4-FFF2-40B4-BE49-F238E27FC236}">
                <a16:creationId xmlns:a16="http://schemas.microsoft.com/office/drawing/2014/main" id="{AF90C328-BF6B-49CF-A9E0-E3E6810E5220}"/>
              </a:ext>
            </a:extLst>
          </xdr:cNvPr>
          <xdr:cNvSpPr txBox="1"/>
        </xdr:nvSpPr>
        <xdr:spPr>
          <a:xfrm>
            <a:off x="5144897" y="1540754"/>
            <a:ext cx="2432195" cy="249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600" b="0" i="0">
                <a:solidFill>
                  <a:schemeClr val="tx1">
                    <a:lumMod val="75000"/>
                    <a:lumOff val="25000"/>
                  </a:schemeClr>
                </a:solidFill>
                <a:latin typeface="Corbel" panose="020B0503020204020204" pitchFamily="34" charset="0"/>
                <a:ea typeface="SF Pro Text" panose="00000500000000000000" pitchFamily="50" charset="0"/>
                <a:cs typeface="SF UI  Text" panose="00000500000000000000" pitchFamily="50" charset="0"/>
              </a:rPr>
              <a:t> Dashboard Caixa</a:t>
            </a:r>
            <a:r>
              <a:rPr lang="pt-BR" sz="1600" b="0" i="0" baseline="0">
                <a:solidFill>
                  <a:schemeClr val="tx1">
                    <a:lumMod val="75000"/>
                    <a:lumOff val="25000"/>
                  </a:schemeClr>
                </a:solidFill>
                <a:latin typeface="Corbel" panose="020B0503020204020204" pitchFamily="34" charset="0"/>
                <a:ea typeface="SF Pro Text" panose="00000500000000000000" pitchFamily="50" charset="0"/>
                <a:cs typeface="SF UI  Text" panose="00000500000000000000" pitchFamily="50" charset="0"/>
              </a:rPr>
              <a:t> Pessoal</a:t>
            </a:r>
            <a:endParaRPr lang="pt-BR" sz="1600" b="0" i="0">
              <a:solidFill>
                <a:schemeClr val="tx1">
                  <a:lumMod val="75000"/>
                  <a:lumOff val="25000"/>
                </a:schemeClr>
              </a:solidFill>
              <a:latin typeface="Corbel" panose="020B0503020204020204" pitchFamily="34" charset="0"/>
              <a:ea typeface="SF Pro Text" panose="00000500000000000000" pitchFamily="50" charset="0"/>
              <a:cs typeface="SF UI  Text" panose="00000500000000000000" pitchFamily="50" charset="0"/>
            </a:endParaRPr>
          </a:p>
        </xdr:txBody>
      </xdr:sp>
      <xdr:pic>
        <xdr:nvPicPr>
          <xdr:cNvPr id="96" name="Gráfico 95" descr="Gráfico de barras com tendência ascendente com preenchimento sólido">
            <a:extLst>
              <a:ext uri="{FF2B5EF4-FFF2-40B4-BE49-F238E27FC236}">
                <a16:creationId xmlns:a16="http://schemas.microsoft.com/office/drawing/2014/main" id="{6F2B38C2-A381-436C-A648-270729EC999D}"/>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rcRect/>
          <a:stretch/>
        </xdr:blipFill>
        <xdr:spPr>
          <a:xfrm>
            <a:off x="4960726" y="1537532"/>
            <a:ext cx="246477" cy="242700"/>
          </a:xfrm>
          <a:prstGeom prst="rect">
            <a:avLst/>
          </a:prstGeom>
        </xdr:spPr>
      </xdr:pic>
    </xdr:grpSp>
    <xdr:clientData/>
  </xdr:twoCellAnchor>
  <xdr:twoCellAnchor editAs="absolute">
    <xdr:from>
      <xdr:col>29</xdr:col>
      <xdr:colOff>215328</xdr:colOff>
      <xdr:row>12</xdr:row>
      <xdr:rowOff>57870</xdr:rowOff>
    </xdr:from>
    <xdr:to>
      <xdr:col>36</xdr:col>
      <xdr:colOff>0</xdr:colOff>
      <xdr:row>15</xdr:row>
      <xdr:rowOff>95250</xdr:rowOff>
    </xdr:to>
    <xdr:grpSp>
      <xdr:nvGrpSpPr>
        <xdr:cNvPr id="93" name="Agrupar 92">
          <a:extLst>
            <a:ext uri="{FF2B5EF4-FFF2-40B4-BE49-F238E27FC236}">
              <a16:creationId xmlns:a16="http://schemas.microsoft.com/office/drawing/2014/main" id="{1A07C68D-E161-408A-A4F8-0DB16F16CE39}"/>
            </a:ext>
          </a:extLst>
        </xdr:cNvPr>
        <xdr:cNvGrpSpPr>
          <a:grpSpLocks/>
        </xdr:cNvGrpSpPr>
      </xdr:nvGrpSpPr>
      <xdr:grpSpPr>
        <a:xfrm>
          <a:off x="11797728" y="4286970"/>
          <a:ext cx="2756472" cy="1094655"/>
          <a:chOff x="3068730" y="2456276"/>
          <a:chExt cx="2756472" cy="1094655"/>
        </a:xfrm>
      </xdr:grpSpPr>
      <xdr:sp macro="" textlink="">
        <xdr:nvSpPr>
          <xdr:cNvPr id="42" name="Retângulo: Cantos Arredondados 41">
            <a:extLst>
              <a:ext uri="{FF2B5EF4-FFF2-40B4-BE49-F238E27FC236}">
                <a16:creationId xmlns:a16="http://schemas.microsoft.com/office/drawing/2014/main" id="{9EC7E94F-5905-4DA7-882E-44CC3878E7C7}"/>
              </a:ext>
            </a:extLst>
          </xdr:cNvPr>
          <xdr:cNvSpPr>
            <a:spLocks noChangeAspect="1"/>
          </xdr:cNvSpPr>
        </xdr:nvSpPr>
        <xdr:spPr>
          <a:xfrm>
            <a:off x="3075654" y="2544664"/>
            <a:ext cx="2698641" cy="1006267"/>
          </a:xfrm>
          <a:prstGeom prst="roundRect">
            <a:avLst>
              <a:gd name="adj" fmla="val 9504"/>
            </a:avLst>
          </a:prstGeom>
          <a:solidFill>
            <a:schemeClr val="accent1"/>
          </a:solidFill>
          <a:ln>
            <a:noFill/>
          </a:ln>
          <a:effectLst>
            <a:outerShdw blurRad="889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BR" sz="1100"/>
          </a:p>
        </xdr:txBody>
      </xdr:sp>
      <xdr:sp macro="" textlink="">
        <xdr:nvSpPr>
          <xdr:cNvPr id="43" name="Retângulo: Cantos Arredondados 42">
            <a:extLst>
              <a:ext uri="{FF2B5EF4-FFF2-40B4-BE49-F238E27FC236}">
                <a16:creationId xmlns:a16="http://schemas.microsoft.com/office/drawing/2014/main" id="{2F435A57-FF3E-4914-A110-1198395E596F}"/>
              </a:ext>
            </a:extLst>
          </xdr:cNvPr>
          <xdr:cNvSpPr>
            <a:spLocks noChangeAspect="1"/>
          </xdr:cNvSpPr>
        </xdr:nvSpPr>
        <xdr:spPr>
          <a:xfrm>
            <a:off x="3075654" y="2456276"/>
            <a:ext cx="2698641" cy="895315"/>
          </a:xfrm>
          <a:prstGeom prst="roundRect">
            <a:avLst>
              <a:gd name="adj" fmla="val 9600"/>
            </a:avLst>
          </a:prstGeom>
          <a:solidFill>
            <a:schemeClr val="bg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BR" sz="1100">
              <a:solidFill>
                <a:schemeClr val="tx1">
                  <a:lumMod val="75000"/>
                  <a:lumOff val="25000"/>
                </a:schemeClr>
              </a:solidFill>
            </a:endParaRPr>
          </a:p>
        </xdr:txBody>
      </xdr:sp>
      <xdr:sp macro="" textlink="">
        <xdr:nvSpPr>
          <xdr:cNvPr id="44" name="Text - Amarelo">
            <a:extLst>
              <a:ext uri="{FF2B5EF4-FFF2-40B4-BE49-F238E27FC236}">
                <a16:creationId xmlns:a16="http://schemas.microsoft.com/office/drawing/2014/main" id="{2A6751E9-8837-419C-BD22-847AFF129369}"/>
              </a:ext>
            </a:extLst>
          </xdr:cNvPr>
          <xdr:cNvSpPr txBox="1">
            <a:spLocks noChangeAspect="1"/>
          </xdr:cNvSpPr>
        </xdr:nvSpPr>
        <xdr:spPr>
          <a:xfrm>
            <a:off x="4196728" y="3351592"/>
            <a:ext cx="1558351" cy="198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r>
              <a:rPr lang="en-US" sz="900" b="0">
                <a:solidFill>
                  <a:schemeClr val="bg1"/>
                </a:solidFill>
                <a:latin typeface="Leelawadee UI Semilight" panose="020B0402040204020203" pitchFamily="34" charset="-34"/>
                <a:ea typeface="Tahoma" panose="020B0604030504040204" pitchFamily="34" charset="0"/>
                <a:cs typeface="Leelawadee UI Semilight" panose="020B0402040204020203" pitchFamily="34" charset="-34"/>
              </a:rPr>
              <a:t>3.400</a:t>
            </a:r>
          </a:p>
        </xdr:txBody>
      </xdr:sp>
      <xdr:sp macro="" textlink="">
        <xdr:nvSpPr>
          <xdr:cNvPr id="45" name="Text - Amarelo">
            <a:extLst>
              <a:ext uri="{FF2B5EF4-FFF2-40B4-BE49-F238E27FC236}">
                <a16:creationId xmlns:a16="http://schemas.microsoft.com/office/drawing/2014/main" id="{51B0CB19-5ECB-41A6-B064-E291FC38A058}"/>
              </a:ext>
            </a:extLst>
          </xdr:cNvPr>
          <xdr:cNvSpPr txBox="1">
            <a:spLocks noChangeAspect="1"/>
          </xdr:cNvSpPr>
        </xdr:nvSpPr>
        <xdr:spPr>
          <a:xfrm>
            <a:off x="3105824" y="3360180"/>
            <a:ext cx="841800" cy="180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chemeClr val="bg1"/>
                </a:solidFill>
                <a:latin typeface="Leelawadee UI Semilight" panose="020B0402040204020203" pitchFamily="34" charset="-34"/>
                <a:ea typeface="Tahoma" panose="020B0604030504040204" pitchFamily="34" charset="0"/>
                <a:cs typeface="Leelawadee UI Semilight" panose="020B0402040204020203" pitchFamily="34" charset="-34"/>
              </a:rPr>
              <a:t>MÊS ANTERIOR</a:t>
            </a:r>
          </a:p>
        </xdr:txBody>
      </xdr:sp>
      <xdr:grpSp>
        <xdr:nvGrpSpPr>
          <xdr:cNvPr id="58" name="Arrow 1">
            <a:extLst>
              <a:ext uri="{FF2B5EF4-FFF2-40B4-BE49-F238E27FC236}">
                <a16:creationId xmlns:a16="http://schemas.microsoft.com/office/drawing/2014/main" id="{1D7DDD58-DC55-4B3B-93BD-2B81E3379DA5}"/>
              </a:ext>
            </a:extLst>
          </xdr:cNvPr>
          <xdr:cNvGrpSpPr>
            <a:grpSpLocks noChangeAspect="1"/>
          </xdr:cNvGrpSpPr>
        </xdr:nvGrpSpPr>
        <xdr:grpSpPr>
          <a:xfrm>
            <a:off x="3177392" y="2874478"/>
            <a:ext cx="230635" cy="227176"/>
            <a:chOff x="5019675" y="3124200"/>
            <a:chExt cx="219075" cy="219075"/>
          </a:xfrm>
        </xdr:grpSpPr>
        <xdr:sp macro="" textlink="">
          <xdr:nvSpPr>
            <xdr:cNvPr id="59" name="BackG">
              <a:extLst>
                <a:ext uri="{FF2B5EF4-FFF2-40B4-BE49-F238E27FC236}">
                  <a16:creationId xmlns:a16="http://schemas.microsoft.com/office/drawing/2014/main" id="{D5C7EAC4-D689-49BD-AF9E-0CBBF0FBAA1A}"/>
                </a:ext>
              </a:extLst>
            </xdr:cNvPr>
            <xdr:cNvSpPr/>
          </xdr:nvSpPr>
          <xdr:spPr>
            <a:xfrm>
              <a:off x="5019675" y="3124200"/>
              <a:ext cx="219075" cy="2190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60" name="updown01">
              <a:extLst>
                <a:ext uri="{FF2B5EF4-FFF2-40B4-BE49-F238E27FC236}">
                  <a16:creationId xmlns:a16="http://schemas.microsoft.com/office/drawing/2014/main" id="{36BEE6D3-DB8E-4EE5-9BA7-865539D0D79B}"/>
                </a:ext>
              </a:extLst>
            </xdr:cNvPr>
            <xdr:cNvSpPr/>
          </xdr:nvSpPr>
          <xdr:spPr>
            <a:xfrm rot="8100000">
              <a:off x="5068595" y="3201695"/>
              <a:ext cx="121234" cy="121234"/>
            </a:xfrm>
            <a:prstGeom prst="corner">
              <a:avLst>
                <a:gd name="adj1" fmla="val 30645"/>
                <a:gd name="adj2" fmla="val 3100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70" name="Text - Azul">
            <a:extLst>
              <a:ext uri="{FF2B5EF4-FFF2-40B4-BE49-F238E27FC236}">
                <a16:creationId xmlns:a16="http://schemas.microsoft.com/office/drawing/2014/main" id="{36EE1F9B-DF31-4414-BD52-BCDE947DDB30}"/>
              </a:ext>
            </a:extLst>
          </xdr:cNvPr>
          <xdr:cNvSpPr txBox="1">
            <a:spLocks noChangeAspect="1"/>
          </xdr:cNvSpPr>
        </xdr:nvSpPr>
        <xdr:spPr>
          <a:xfrm>
            <a:off x="3068730" y="2485908"/>
            <a:ext cx="2651238" cy="281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pt-BR" sz="900" b="1" cap="all" baseline="0">
                <a:solidFill>
                  <a:schemeClr val="tx1">
                    <a:lumMod val="75000"/>
                    <a:lumOff val="25000"/>
                  </a:schemeClr>
                </a:solidFill>
                <a:latin typeface="Leelawadee UI" panose="020B0502040204020203" pitchFamily="34" charset="-34"/>
                <a:ea typeface="Tahoma" panose="020B0604030504040204" pitchFamily="34" charset="0"/>
                <a:cs typeface="Leelawadee UI" panose="020B0502040204020203" pitchFamily="34" charset="-34"/>
              </a:rPr>
              <a:t>SOMA DOS GANHOS DO MêS</a:t>
            </a:r>
          </a:p>
        </xdr:txBody>
      </xdr:sp>
      <xdr:sp macro="" textlink="">
        <xdr:nvSpPr>
          <xdr:cNvPr id="101" name="Un - Number">
            <a:extLst>
              <a:ext uri="{FF2B5EF4-FFF2-40B4-BE49-F238E27FC236}">
                <a16:creationId xmlns:a16="http://schemas.microsoft.com/office/drawing/2014/main" id="{74043123-6F22-4281-8361-4306AF37064C}"/>
              </a:ext>
            </a:extLst>
          </xdr:cNvPr>
          <xdr:cNvSpPr txBox="1">
            <a:spLocks noChangeAspect="1"/>
          </xdr:cNvSpPr>
        </xdr:nvSpPr>
        <xdr:spPr>
          <a:xfrm>
            <a:off x="3415055" y="2732289"/>
            <a:ext cx="566927" cy="473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0" cap="none" spc="0" normalizeH="0" baseline="0" noProof="0">
                <a:ln>
                  <a:noFill/>
                </a:ln>
                <a:solidFill>
                  <a:prstClr val="black">
                    <a:lumMod val="65000"/>
                    <a:lumOff val="35000"/>
                  </a:prstClr>
                </a:solidFill>
                <a:effectLst/>
                <a:uLnTx/>
                <a:uFillTx/>
                <a:latin typeface="+mn-lt"/>
                <a:ea typeface="Gadugi" panose="020B0502040204020203" pitchFamily="34" charset="0"/>
                <a:cs typeface="Calibri"/>
              </a:rPr>
              <a:t>R$</a:t>
            </a:r>
            <a:r>
              <a:rPr kumimoji="0" lang="en-US" sz="2000" b="0" i="0" u="none" strike="noStrike" kern="0" cap="none" spc="0" normalizeH="0" baseline="0" noProof="0">
                <a:ln>
                  <a:noFill/>
                </a:ln>
                <a:solidFill>
                  <a:prstClr val="black">
                    <a:lumMod val="85000"/>
                    <a:lumOff val="15000"/>
                  </a:prstClr>
                </a:solidFill>
                <a:effectLst/>
                <a:uLnTx/>
                <a:uFillTx/>
                <a:latin typeface="+mn-lt"/>
                <a:ea typeface="Gadugi" panose="020B0502040204020203" pitchFamily="34" charset="0"/>
                <a:cs typeface="Calibri"/>
              </a:rPr>
              <a:t>  </a:t>
            </a:r>
            <a:endParaRPr lang="en-US" sz="1100" b="0" i="0" u="none" strike="noStrike">
              <a:solidFill>
                <a:srgbClr val="000000"/>
              </a:solidFill>
              <a:latin typeface="+mn-lt"/>
              <a:ea typeface="Gadugi" panose="020B0502040204020203" pitchFamily="34" charset="0"/>
              <a:cs typeface="Calibri"/>
            </a:endParaRPr>
          </a:p>
        </xdr:txBody>
      </xdr:sp>
      <xdr:sp macro="" textlink="EDITAR!AA3">
        <xdr:nvSpPr>
          <xdr:cNvPr id="102" name="Var - Number">
            <a:extLst>
              <a:ext uri="{FF2B5EF4-FFF2-40B4-BE49-F238E27FC236}">
                <a16:creationId xmlns:a16="http://schemas.microsoft.com/office/drawing/2014/main" id="{9B8ECC00-E235-42C3-96B6-A3BF12B257C2}"/>
              </a:ext>
            </a:extLst>
          </xdr:cNvPr>
          <xdr:cNvSpPr txBox="1">
            <a:spLocks noChangeAspect="1"/>
          </xdr:cNvSpPr>
        </xdr:nvSpPr>
        <xdr:spPr>
          <a:xfrm>
            <a:off x="3775827" y="2732289"/>
            <a:ext cx="1992831" cy="473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0F322BC1-BCF1-4EB1-BBC8-F91A1E3AF8B1}" type="TxLink">
              <a:rPr lang="en-US" sz="2800" b="1" i="0" u="none" strike="noStrike" noProof="0">
                <a:solidFill>
                  <a:schemeClr val="tx1">
                    <a:lumMod val="85000"/>
                    <a:lumOff val="15000"/>
                  </a:schemeClr>
                </a:solidFill>
                <a:latin typeface="+mn-lt"/>
                <a:ea typeface="Gadugi" panose="020B0502040204020203" pitchFamily="34" charset="0"/>
                <a:cs typeface="Calibri"/>
              </a:rPr>
              <a:pPr marL="0" marR="0" lvl="0" indent="0" algn="l" defTabSz="914400" eaLnBrk="1" fontAlgn="auto" latinLnBrk="0" hangingPunct="1">
                <a:lnSpc>
                  <a:spcPct val="100000"/>
                </a:lnSpc>
                <a:spcBef>
                  <a:spcPts val="0"/>
                </a:spcBef>
                <a:spcAft>
                  <a:spcPts val="0"/>
                </a:spcAft>
                <a:buClrTx/>
                <a:buSzTx/>
                <a:buFontTx/>
                <a:buNone/>
                <a:tabLst/>
                <a:defRPr/>
              </a:pPr>
              <a:t>4.540,00</a:t>
            </a:fld>
            <a:endParaRPr lang="en-US" sz="2800" b="1" i="0" u="none" strike="noStrike">
              <a:solidFill>
                <a:schemeClr val="tx1">
                  <a:lumMod val="85000"/>
                  <a:lumOff val="15000"/>
                </a:schemeClr>
              </a:solidFill>
              <a:latin typeface="+mn-lt"/>
              <a:ea typeface="Gadugi" panose="020B0502040204020203" pitchFamily="34" charset="0"/>
              <a:cs typeface="Calibri"/>
            </a:endParaRPr>
          </a:p>
        </xdr:txBody>
      </xdr:sp>
      <xdr:sp macro="" textlink="">
        <xdr:nvSpPr>
          <xdr:cNvPr id="109" name="porcent01">
            <a:extLst>
              <a:ext uri="{FF2B5EF4-FFF2-40B4-BE49-F238E27FC236}">
                <a16:creationId xmlns:a16="http://schemas.microsoft.com/office/drawing/2014/main" id="{9ED7D0F3-30AF-4AAB-AB6F-D2A947AF2EC6}"/>
              </a:ext>
            </a:extLst>
          </xdr:cNvPr>
          <xdr:cNvSpPr txBox="1">
            <a:spLocks noChangeAspect="1"/>
          </xdr:cNvSpPr>
        </xdr:nvSpPr>
        <xdr:spPr>
          <a:xfrm>
            <a:off x="5115834" y="3112671"/>
            <a:ext cx="709368" cy="238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9E8ABAEE-F01C-42CD-B4EE-09B647B272B6}" type="TxLink">
              <a:rPr lang="en-US" sz="1200" b="1" i="0" u="none" strike="noStrike" noProof="0">
                <a:solidFill>
                  <a:srgbClr val="FF0000"/>
                </a:solidFill>
                <a:latin typeface="+mn-lt"/>
                <a:ea typeface="Gadugi" panose="020B0502040204020203" pitchFamily="34" charset="0"/>
                <a:cs typeface="Calibri"/>
              </a:rPr>
              <a:pPr marL="0" marR="0" lvl="0" indent="0" algn="r" defTabSz="914400" eaLnBrk="1" fontAlgn="auto" latinLnBrk="0" hangingPunct="1">
                <a:lnSpc>
                  <a:spcPct val="100000"/>
                </a:lnSpc>
                <a:spcBef>
                  <a:spcPts val="0"/>
                </a:spcBef>
                <a:spcAft>
                  <a:spcPts val="0"/>
                </a:spcAft>
                <a:buClrTx/>
                <a:buSzTx/>
                <a:buFontTx/>
                <a:buNone/>
                <a:tabLst/>
                <a:defRPr/>
              </a:pPr>
              <a:t> - 7,6%</a:t>
            </a:fld>
            <a:endParaRPr lang="en-US" sz="1200" b="1" i="0" u="none" strike="noStrike">
              <a:solidFill>
                <a:srgbClr val="FF0000"/>
              </a:solidFill>
              <a:latin typeface="+mn-lt"/>
              <a:ea typeface="Gadugi" panose="020B0502040204020203" pitchFamily="34" charset="0"/>
              <a:cs typeface="Calibri"/>
            </a:endParaRPr>
          </a:p>
        </xdr:txBody>
      </xdr:sp>
      <xdr:sp macro="" textlink="">
        <xdr:nvSpPr>
          <xdr:cNvPr id="115" name="Azul">
            <a:extLst>
              <a:ext uri="{FF2B5EF4-FFF2-40B4-BE49-F238E27FC236}">
                <a16:creationId xmlns:a16="http://schemas.microsoft.com/office/drawing/2014/main" id="{603F3EF2-08E3-41C7-8C2D-AAFA1883E474}"/>
              </a:ext>
            </a:extLst>
          </xdr:cNvPr>
          <xdr:cNvSpPr>
            <a:spLocks noChangeAspect="1"/>
          </xdr:cNvSpPr>
        </xdr:nvSpPr>
        <xdr:spPr>
          <a:xfrm>
            <a:off x="5480795" y="2578590"/>
            <a:ext cx="163611" cy="47410"/>
          </a:xfrm>
          <a:prstGeom prst="roundRect">
            <a:avLst>
              <a:gd name="adj" fmla="val 50000"/>
            </a:avLst>
          </a:prstGeom>
          <a:solidFill>
            <a:schemeClr val="accent1">
              <a:lumMod val="75000"/>
            </a:schemeClr>
          </a:solidFill>
          <a:ln>
            <a:noFill/>
          </a:ln>
          <a:effectLst>
            <a:outerShdw blurRad="889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BR" sz="1100"/>
          </a:p>
        </xdr:txBody>
      </xdr:sp>
    </xdr:grpSp>
    <xdr:clientData/>
  </xdr:twoCellAnchor>
  <xdr:twoCellAnchor editAs="absolute">
    <xdr:from>
      <xdr:col>29</xdr:col>
      <xdr:colOff>225116</xdr:colOff>
      <xdr:row>19</xdr:row>
      <xdr:rowOff>124545</xdr:rowOff>
    </xdr:from>
    <xdr:to>
      <xdr:col>36</xdr:col>
      <xdr:colOff>0</xdr:colOff>
      <xdr:row>22</xdr:row>
      <xdr:rowOff>161925</xdr:rowOff>
    </xdr:to>
    <xdr:grpSp>
      <xdr:nvGrpSpPr>
        <xdr:cNvPr id="241" name="Agrupar 240">
          <a:extLst>
            <a:ext uri="{FF2B5EF4-FFF2-40B4-BE49-F238E27FC236}">
              <a16:creationId xmlns:a16="http://schemas.microsoft.com/office/drawing/2014/main" id="{FD1367B2-6209-4772-891B-59131FF2C538}"/>
            </a:ext>
          </a:extLst>
        </xdr:cNvPr>
        <xdr:cNvGrpSpPr>
          <a:grpSpLocks/>
        </xdr:cNvGrpSpPr>
      </xdr:nvGrpSpPr>
      <xdr:grpSpPr>
        <a:xfrm>
          <a:off x="11807516" y="6820620"/>
          <a:ext cx="2746684" cy="1094655"/>
          <a:chOff x="5907421" y="2456276"/>
          <a:chExt cx="2746684" cy="1094655"/>
        </a:xfrm>
      </xdr:grpSpPr>
      <xdr:sp macro="" textlink="">
        <xdr:nvSpPr>
          <xdr:cNvPr id="50" name="Retângulo: Cantos Arredondados 49">
            <a:extLst>
              <a:ext uri="{FF2B5EF4-FFF2-40B4-BE49-F238E27FC236}">
                <a16:creationId xmlns:a16="http://schemas.microsoft.com/office/drawing/2014/main" id="{0544A4FE-D0DF-4CB9-AC9A-BE0A9CB9A9BF}"/>
              </a:ext>
            </a:extLst>
          </xdr:cNvPr>
          <xdr:cNvSpPr>
            <a:spLocks noChangeAspect="1"/>
          </xdr:cNvSpPr>
        </xdr:nvSpPr>
        <xdr:spPr>
          <a:xfrm>
            <a:off x="5907421" y="2544664"/>
            <a:ext cx="2698641" cy="1006267"/>
          </a:xfrm>
          <a:prstGeom prst="roundRect">
            <a:avLst>
              <a:gd name="adj" fmla="val 9504"/>
            </a:avLst>
          </a:prstGeom>
          <a:solidFill>
            <a:srgbClr val="00B050"/>
          </a:solidFill>
          <a:ln>
            <a:noFill/>
          </a:ln>
          <a:effectLst>
            <a:outerShdw blurRad="889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BR" sz="1100"/>
          </a:p>
        </xdr:txBody>
      </xdr:sp>
      <xdr:sp macro="" textlink="">
        <xdr:nvSpPr>
          <xdr:cNvPr id="51" name="Retângulo: Cantos Arredondados 50">
            <a:extLst>
              <a:ext uri="{FF2B5EF4-FFF2-40B4-BE49-F238E27FC236}">
                <a16:creationId xmlns:a16="http://schemas.microsoft.com/office/drawing/2014/main" id="{FC167D02-AAA1-42C0-B294-79A528621D3A}"/>
              </a:ext>
            </a:extLst>
          </xdr:cNvPr>
          <xdr:cNvSpPr>
            <a:spLocks noChangeAspect="1"/>
          </xdr:cNvSpPr>
        </xdr:nvSpPr>
        <xdr:spPr>
          <a:xfrm>
            <a:off x="5907421" y="2456276"/>
            <a:ext cx="2698641" cy="895315"/>
          </a:xfrm>
          <a:prstGeom prst="roundRect">
            <a:avLst>
              <a:gd name="adj" fmla="val 9600"/>
            </a:avLst>
          </a:prstGeom>
          <a:solidFill>
            <a:schemeClr val="bg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BR" sz="1100">
              <a:solidFill>
                <a:schemeClr val="tx1">
                  <a:lumMod val="75000"/>
                  <a:lumOff val="25000"/>
                </a:schemeClr>
              </a:solidFill>
            </a:endParaRPr>
          </a:p>
        </xdr:txBody>
      </xdr:sp>
      <xdr:sp macro="" textlink="">
        <xdr:nvSpPr>
          <xdr:cNvPr id="52" name="Text - Amarelo">
            <a:extLst>
              <a:ext uri="{FF2B5EF4-FFF2-40B4-BE49-F238E27FC236}">
                <a16:creationId xmlns:a16="http://schemas.microsoft.com/office/drawing/2014/main" id="{B43DF6B8-BD6E-4AB0-ABB6-4AFCF4CF1285}"/>
              </a:ext>
            </a:extLst>
          </xdr:cNvPr>
          <xdr:cNvSpPr txBox="1">
            <a:spLocks noChangeAspect="1"/>
          </xdr:cNvSpPr>
        </xdr:nvSpPr>
        <xdr:spPr>
          <a:xfrm>
            <a:off x="7028495" y="3351592"/>
            <a:ext cx="1558351" cy="198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r>
              <a:rPr lang="en-US" sz="900" b="0">
                <a:solidFill>
                  <a:schemeClr val="bg1"/>
                </a:solidFill>
                <a:latin typeface="Leelawadee UI Semilight" panose="020B0402040204020203" pitchFamily="34" charset="-34"/>
                <a:ea typeface="Tahoma" panose="020B0604030504040204" pitchFamily="34" charset="0"/>
                <a:cs typeface="Leelawadee UI Semilight" panose="020B0402040204020203" pitchFamily="34" charset="-34"/>
              </a:rPr>
              <a:t>2.800</a:t>
            </a:r>
          </a:p>
        </xdr:txBody>
      </xdr:sp>
      <xdr:sp macro="" textlink="">
        <xdr:nvSpPr>
          <xdr:cNvPr id="53" name="Text - Amarelo">
            <a:extLst>
              <a:ext uri="{FF2B5EF4-FFF2-40B4-BE49-F238E27FC236}">
                <a16:creationId xmlns:a16="http://schemas.microsoft.com/office/drawing/2014/main" id="{2B6819CA-45C9-4DBF-97DC-C35EAB35F6F8}"/>
              </a:ext>
            </a:extLst>
          </xdr:cNvPr>
          <xdr:cNvSpPr txBox="1">
            <a:spLocks/>
          </xdr:cNvSpPr>
        </xdr:nvSpPr>
        <xdr:spPr>
          <a:xfrm>
            <a:off x="5937590" y="3360180"/>
            <a:ext cx="900000" cy="1813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chemeClr val="bg1"/>
                </a:solidFill>
                <a:latin typeface="Leelawadee UI Semilight" panose="020B0402040204020203" pitchFamily="34" charset="-34"/>
                <a:ea typeface="Tahoma" panose="020B0604030504040204" pitchFamily="34" charset="0"/>
                <a:cs typeface="Leelawadee UI Semilight" panose="020B0402040204020203" pitchFamily="34" charset="-34"/>
              </a:rPr>
              <a:t>MAIOR DO ANO</a:t>
            </a:r>
          </a:p>
        </xdr:txBody>
      </xdr:sp>
      <xdr:grpSp>
        <xdr:nvGrpSpPr>
          <xdr:cNvPr id="61" name="Arrow 2">
            <a:extLst>
              <a:ext uri="{FF2B5EF4-FFF2-40B4-BE49-F238E27FC236}">
                <a16:creationId xmlns:a16="http://schemas.microsoft.com/office/drawing/2014/main" id="{A7C55A26-E4F4-4FDD-AF73-BCBE0685BB55}"/>
              </a:ext>
            </a:extLst>
          </xdr:cNvPr>
          <xdr:cNvGrpSpPr>
            <a:grpSpLocks noChangeAspect="1"/>
          </xdr:cNvGrpSpPr>
        </xdr:nvGrpSpPr>
        <xdr:grpSpPr>
          <a:xfrm rot="10800000">
            <a:off x="6015214" y="2874478"/>
            <a:ext cx="221875" cy="227176"/>
            <a:chOff x="5019675" y="3124200"/>
            <a:chExt cx="219075" cy="219075"/>
          </a:xfrm>
        </xdr:grpSpPr>
        <xdr:sp macro="" textlink="">
          <xdr:nvSpPr>
            <xdr:cNvPr id="62" name="BackG">
              <a:extLst>
                <a:ext uri="{FF2B5EF4-FFF2-40B4-BE49-F238E27FC236}">
                  <a16:creationId xmlns:a16="http://schemas.microsoft.com/office/drawing/2014/main" id="{95C13066-CE98-4FB6-A9E6-6BB113E79B54}"/>
                </a:ext>
              </a:extLst>
            </xdr:cNvPr>
            <xdr:cNvSpPr/>
          </xdr:nvSpPr>
          <xdr:spPr>
            <a:xfrm>
              <a:off x="5019675" y="3124200"/>
              <a:ext cx="219075" cy="2190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63" name="updown02">
              <a:extLst>
                <a:ext uri="{FF2B5EF4-FFF2-40B4-BE49-F238E27FC236}">
                  <a16:creationId xmlns:a16="http://schemas.microsoft.com/office/drawing/2014/main" id="{449D5554-DD92-484B-A0D5-AC8B35660CBA}"/>
                </a:ext>
              </a:extLst>
            </xdr:cNvPr>
            <xdr:cNvSpPr/>
          </xdr:nvSpPr>
          <xdr:spPr>
            <a:xfrm rot="8100000">
              <a:off x="5068595" y="3201695"/>
              <a:ext cx="121234" cy="121234"/>
            </a:xfrm>
            <a:prstGeom prst="corner">
              <a:avLst>
                <a:gd name="adj1" fmla="val 30645"/>
                <a:gd name="adj2" fmla="val 31004"/>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100" name="Text - Vermelho">
            <a:extLst>
              <a:ext uri="{FF2B5EF4-FFF2-40B4-BE49-F238E27FC236}">
                <a16:creationId xmlns:a16="http://schemas.microsoft.com/office/drawing/2014/main" id="{22FD0593-26BE-4D65-A6C3-2BFBAB4F4B5D}"/>
              </a:ext>
            </a:extLst>
          </xdr:cNvPr>
          <xdr:cNvSpPr txBox="1">
            <a:spLocks noChangeAspect="1"/>
          </xdr:cNvSpPr>
        </xdr:nvSpPr>
        <xdr:spPr>
          <a:xfrm>
            <a:off x="5918725" y="2485908"/>
            <a:ext cx="2636627" cy="281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1" cap="all" baseline="0">
                <a:solidFill>
                  <a:schemeClr val="tx1">
                    <a:lumMod val="75000"/>
                    <a:lumOff val="25000"/>
                  </a:schemeClr>
                </a:solidFill>
                <a:latin typeface="Leelawadee UI" panose="020B0502040204020203" pitchFamily="34" charset="-34"/>
                <a:ea typeface="Tahoma" panose="020B0604030504040204" pitchFamily="34" charset="0"/>
                <a:cs typeface="Leelawadee UI" panose="020B0502040204020203" pitchFamily="34" charset="-34"/>
              </a:rPr>
              <a:t>MAIOR GANHO DO MÊS</a:t>
            </a:r>
          </a:p>
        </xdr:txBody>
      </xdr:sp>
      <xdr:sp macro="" textlink="">
        <xdr:nvSpPr>
          <xdr:cNvPr id="105" name="Un - Number">
            <a:extLst>
              <a:ext uri="{FF2B5EF4-FFF2-40B4-BE49-F238E27FC236}">
                <a16:creationId xmlns:a16="http://schemas.microsoft.com/office/drawing/2014/main" id="{6A177E86-0676-487E-B6F8-01DCBAE29E0F}"/>
              </a:ext>
            </a:extLst>
          </xdr:cNvPr>
          <xdr:cNvSpPr txBox="1">
            <a:spLocks noChangeAspect="1"/>
          </xdr:cNvSpPr>
        </xdr:nvSpPr>
        <xdr:spPr>
          <a:xfrm>
            <a:off x="6275454" y="2732289"/>
            <a:ext cx="568659" cy="473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0" cap="none" spc="0" normalizeH="0" baseline="0" noProof="0">
                <a:ln>
                  <a:noFill/>
                </a:ln>
                <a:solidFill>
                  <a:prstClr val="black">
                    <a:lumMod val="65000"/>
                    <a:lumOff val="35000"/>
                  </a:prstClr>
                </a:solidFill>
                <a:effectLst/>
                <a:uLnTx/>
                <a:uFillTx/>
                <a:latin typeface="+mn-lt"/>
                <a:ea typeface="Gadugi" panose="020B0502040204020203" pitchFamily="34" charset="0"/>
                <a:cs typeface="Calibri"/>
              </a:rPr>
              <a:t>R$</a:t>
            </a:r>
            <a:r>
              <a:rPr kumimoji="0" lang="en-US" sz="2000" b="0" i="0" u="none" strike="noStrike" kern="0" cap="none" spc="0" normalizeH="0" baseline="0" noProof="0">
                <a:ln>
                  <a:noFill/>
                </a:ln>
                <a:solidFill>
                  <a:prstClr val="black">
                    <a:lumMod val="85000"/>
                    <a:lumOff val="15000"/>
                  </a:prstClr>
                </a:solidFill>
                <a:effectLst/>
                <a:uLnTx/>
                <a:uFillTx/>
                <a:latin typeface="+mn-lt"/>
                <a:ea typeface="Gadugi" panose="020B0502040204020203" pitchFamily="34" charset="0"/>
                <a:cs typeface="Calibri"/>
              </a:rPr>
              <a:t>  </a:t>
            </a:r>
            <a:endParaRPr lang="en-US" sz="1100" b="0" i="0" u="none" strike="noStrike">
              <a:solidFill>
                <a:srgbClr val="000000"/>
              </a:solidFill>
              <a:latin typeface="+mn-lt"/>
              <a:ea typeface="Gadugi" panose="020B0502040204020203" pitchFamily="34" charset="0"/>
              <a:cs typeface="Calibri"/>
            </a:endParaRPr>
          </a:p>
        </xdr:txBody>
      </xdr:sp>
      <xdr:sp macro="" textlink="EDITAR!AA4">
        <xdr:nvSpPr>
          <xdr:cNvPr id="106" name="Var - Number">
            <a:extLst>
              <a:ext uri="{FF2B5EF4-FFF2-40B4-BE49-F238E27FC236}">
                <a16:creationId xmlns:a16="http://schemas.microsoft.com/office/drawing/2014/main" id="{D8DD224A-080C-4D13-900A-FBA4E9A2AD4D}"/>
              </a:ext>
            </a:extLst>
          </xdr:cNvPr>
          <xdr:cNvSpPr txBox="1">
            <a:spLocks noChangeAspect="1"/>
          </xdr:cNvSpPr>
        </xdr:nvSpPr>
        <xdr:spPr>
          <a:xfrm>
            <a:off x="6636227" y="2732289"/>
            <a:ext cx="1915523" cy="473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437CF48C-52B1-4688-AEFC-85344DF03C38}" type="TxLink">
              <a:rPr lang="en-US" sz="2800" b="1" i="0" u="none" strike="noStrike" noProof="0">
                <a:solidFill>
                  <a:schemeClr val="tx1">
                    <a:lumMod val="85000"/>
                    <a:lumOff val="15000"/>
                  </a:schemeClr>
                </a:solidFill>
                <a:latin typeface="+mn-lt"/>
                <a:ea typeface="Gadugi" panose="020B0502040204020203" pitchFamily="34" charset="0"/>
                <a:cs typeface="Calibri"/>
              </a:rPr>
              <a:pPr marL="0" marR="0" lvl="0" indent="0" algn="l" defTabSz="914400" eaLnBrk="1" fontAlgn="auto" latinLnBrk="0" hangingPunct="1">
                <a:lnSpc>
                  <a:spcPct val="100000"/>
                </a:lnSpc>
                <a:spcBef>
                  <a:spcPts val="0"/>
                </a:spcBef>
                <a:spcAft>
                  <a:spcPts val="0"/>
                </a:spcAft>
                <a:buClrTx/>
                <a:buSzTx/>
                <a:buFontTx/>
                <a:buNone/>
                <a:tabLst/>
                <a:defRPr/>
              </a:pPr>
              <a:t>2.800,00</a:t>
            </a:fld>
            <a:endParaRPr lang="en-US" sz="2800" b="1" i="0" u="none" strike="noStrike">
              <a:solidFill>
                <a:schemeClr val="tx1">
                  <a:lumMod val="85000"/>
                  <a:lumOff val="15000"/>
                </a:schemeClr>
              </a:solidFill>
              <a:latin typeface="+mn-lt"/>
              <a:ea typeface="Gadugi" panose="020B0502040204020203" pitchFamily="34" charset="0"/>
              <a:cs typeface="Calibri"/>
            </a:endParaRPr>
          </a:p>
        </xdr:txBody>
      </xdr:sp>
      <xdr:sp macro="" textlink="">
        <xdr:nvSpPr>
          <xdr:cNvPr id="110" name="porcent02">
            <a:extLst>
              <a:ext uri="{FF2B5EF4-FFF2-40B4-BE49-F238E27FC236}">
                <a16:creationId xmlns:a16="http://schemas.microsoft.com/office/drawing/2014/main" id="{3C90D3D4-0895-4F92-93DF-C2BE37600E54}"/>
              </a:ext>
            </a:extLst>
          </xdr:cNvPr>
          <xdr:cNvSpPr txBox="1">
            <a:spLocks noChangeAspect="1"/>
          </xdr:cNvSpPr>
        </xdr:nvSpPr>
        <xdr:spPr>
          <a:xfrm>
            <a:off x="7944737" y="3112671"/>
            <a:ext cx="709368" cy="238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200" b="1" i="0" u="none" strike="noStrike" noProof="0">
                <a:solidFill>
                  <a:srgbClr val="C00000"/>
                </a:solidFill>
                <a:latin typeface="+mn-lt"/>
                <a:ea typeface="Gadugi" panose="020B0502040204020203" pitchFamily="34" charset="0"/>
                <a:cs typeface="Calibri"/>
              </a:rPr>
              <a:t>0%</a:t>
            </a:r>
            <a:endParaRPr lang="en-US" sz="1200" b="1" i="0" u="none" strike="noStrike">
              <a:solidFill>
                <a:srgbClr val="C00000"/>
              </a:solidFill>
              <a:latin typeface="+mn-lt"/>
              <a:ea typeface="Gadugi" panose="020B0502040204020203" pitchFamily="34" charset="0"/>
              <a:cs typeface="Calibri"/>
            </a:endParaRPr>
          </a:p>
        </xdr:txBody>
      </xdr:sp>
      <xdr:sp macro="" textlink="">
        <xdr:nvSpPr>
          <xdr:cNvPr id="116" name="Vermelho">
            <a:extLst>
              <a:ext uri="{FF2B5EF4-FFF2-40B4-BE49-F238E27FC236}">
                <a16:creationId xmlns:a16="http://schemas.microsoft.com/office/drawing/2014/main" id="{85D4CB7A-B03D-4DC8-8B84-F0D96B9F4DF3}"/>
              </a:ext>
            </a:extLst>
          </xdr:cNvPr>
          <xdr:cNvSpPr>
            <a:spLocks noChangeAspect="1"/>
          </xdr:cNvSpPr>
        </xdr:nvSpPr>
        <xdr:spPr>
          <a:xfrm>
            <a:off x="8318289" y="2578590"/>
            <a:ext cx="163612" cy="47410"/>
          </a:xfrm>
          <a:prstGeom prst="roundRect">
            <a:avLst>
              <a:gd name="adj" fmla="val 50000"/>
            </a:avLst>
          </a:prstGeom>
          <a:solidFill>
            <a:srgbClr val="C00000"/>
          </a:solidFill>
          <a:ln>
            <a:noFill/>
          </a:ln>
          <a:effectLst>
            <a:outerShdw blurRad="889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BR" sz="1100"/>
          </a:p>
        </xdr:txBody>
      </xdr:sp>
    </xdr:grpSp>
    <xdr:clientData/>
  </xdr:twoCellAnchor>
  <xdr:twoCellAnchor editAs="absolute">
    <xdr:from>
      <xdr:col>29</xdr:col>
      <xdr:colOff>227979</xdr:colOff>
      <xdr:row>15</xdr:row>
      <xdr:rowOff>267420</xdr:rowOff>
    </xdr:from>
    <xdr:to>
      <xdr:col>36</xdr:col>
      <xdr:colOff>0</xdr:colOff>
      <xdr:row>18</xdr:row>
      <xdr:rowOff>304800</xdr:rowOff>
    </xdr:to>
    <xdr:grpSp>
      <xdr:nvGrpSpPr>
        <xdr:cNvPr id="240" name="Agrupar 239">
          <a:extLst>
            <a:ext uri="{FF2B5EF4-FFF2-40B4-BE49-F238E27FC236}">
              <a16:creationId xmlns:a16="http://schemas.microsoft.com/office/drawing/2014/main" id="{CF265DF9-EA55-4C1A-A1E4-4929EBC2FC58}"/>
            </a:ext>
          </a:extLst>
        </xdr:cNvPr>
        <xdr:cNvGrpSpPr>
          <a:grpSpLocks/>
        </xdr:cNvGrpSpPr>
      </xdr:nvGrpSpPr>
      <xdr:grpSpPr>
        <a:xfrm>
          <a:off x="11810379" y="5553795"/>
          <a:ext cx="2743821" cy="1094655"/>
          <a:chOff x="8739188" y="2456276"/>
          <a:chExt cx="2743821" cy="1094655"/>
        </a:xfrm>
      </xdr:grpSpPr>
      <xdr:sp macro="" textlink="">
        <xdr:nvSpPr>
          <xdr:cNvPr id="46" name="Retângulo: Cantos Arredondados 45">
            <a:extLst>
              <a:ext uri="{FF2B5EF4-FFF2-40B4-BE49-F238E27FC236}">
                <a16:creationId xmlns:a16="http://schemas.microsoft.com/office/drawing/2014/main" id="{D778420D-03EA-43E9-A703-57EA21F5AB78}"/>
              </a:ext>
            </a:extLst>
          </xdr:cNvPr>
          <xdr:cNvSpPr>
            <a:spLocks noChangeAspect="1"/>
          </xdr:cNvSpPr>
        </xdr:nvSpPr>
        <xdr:spPr>
          <a:xfrm>
            <a:off x="8739188" y="2544664"/>
            <a:ext cx="2698641" cy="1006267"/>
          </a:xfrm>
          <a:prstGeom prst="roundRect">
            <a:avLst>
              <a:gd name="adj" fmla="val 9504"/>
            </a:avLst>
          </a:prstGeom>
          <a:solidFill>
            <a:srgbClr val="D6A300"/>
          </a:solidFill>
          <a:ln>
            <a:noFill/>
          </a:ln>
          <a:effectLst>
            <a:outerShdw blurRad="889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BR" sz="1100"/>
          </a:p>
        </xdr:txBody>
      </xdr:sp>
      <xdr:sp macro="" textlink="">
        <xdr:nvSpPr>
          <xdr:cNvPr id="47" name="Retângulo: Cantos Arredondados 46">
            <a:extLst>
              <a:ext uri="{FF2B5EF4-FFF2-40B4-BE49-F238E27FC236}">
                <a16:creationId xmlns:a16="http://schemas.microsoft.com/office/drawing/2014/main" id="{B8B11209-E1EF-46B6-A426-524E72877FF5}"/>
              </a:ext>
            </a:extLst>
          </xdr:cNvPr>
          <xdr:cNvSpPr>
            <a:spLocks noChangeAspect="1"/>
          </xdr:cNvSpPr>
        </xdr:nvSpPr>
        <xdr:spPr>
          <a:xfrm>
            <a:off x="8739188" y="2456276"/>
            <a:ext cx="2698641" cy="895315"/>
          </a:xfrm>
          <a:prstGeom prst="roundRect">
            <a:avLst>
              <a:gd name="adj" fmla="val 9600"/>
            </a:avLst>
          </a:prstGeom>
          <a:solidFill>
            <a:schemeClr val="bg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BR" sz="1100">
              <a:solidFill>
                <a:schemeClr val="tx1">
                  <a:lumMod val="75000"/>
                  <a:lumOff val="25000"/>
                </a:schemeClr>
              </a:solidFill>
            </a:endParaRPr>
          </a:p>
        </xdr:txBody>
      </xdr:sp>
      <xdr:sp macro="" textlink="">
        <xdr:nvSpPr>
          <xdr:cNvPr id="48" name="Text - Amarelo">
            <a:extLst>
              <a:ext uri="{FF2B5EF4-FFF2-40B4-BE49-F238E27FC236}">
                <a16:creationId xmlns:a16="http://schemas.microsoft.com/office/drawing/2014/main" id="{77B50546-1F3A-4136-987B-B8B037B6D103}"/>
              </a:ext>
            </a:extLst>
          </xdr:cNvPr>
          <xdr:cNvSpPr txBox="1">
            <a:spLocks noChangeAspect="1"/>
          </xdr:cNvSpPr>
        </xdr:nvSpPr>
        <xdr:spPr>
          <a:xfrm>
            <a:off x="9860262" y="3351592"/>
            <a:ext cx="1558351" cy="198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r>
              <a:rPr lang="en-US" sz="900" b="0">
                <a:solidFill>
                  <a:schemeClr val="bg1"/>
                </a:solidFill>
                <a:latin typeface="Leelawadee UI Semilight" panose="020B0402040204020203" pitchFamily="34" charset="-34"/>
                <a:ea typeface="Tahoma" panose="020B0604030504040204" pitchFamily="34" charset="0"/>
                <a:cs typeface="Leelawadee UI Semilight" panose="020B0402040204020203" pitchFamily="34" charset="-34"/>
              </a:rPr>
              <a:t>-2000</a:t>
            </a:r>
          </a:p>
        </xdr:txBody>
      </xdr:sp>
      <xdr:sp macro="" textlink="">
        <xdr:nvSpPr>
          <xdr:cNvPr id="49" name="Text - Amarelo">
            <a:extLst>
              <a:ext uri="{FF2B5EF4-FFF2-40B4-BE49-F238E27FC236}">
                <a16:creationId xmlns:a16="http://schemas.microsoft.com/office/drawing/2014/main" id="{DBC17881-4994-4F44-B82C-399DBC0A4A2C}"/>
              </a:ext>
            </a:extLst>
          </xdr:cNvPr>
          <xdr:cNvSpPr txBox="1">
            <a:spLocks noChangeAspect="1"/>
          </xdr:cNvSpPr>
        </xdr:nvSpPr>
        <xdr:spPr>
          <a:xfrm>
            <a:off x="8769357" y="3360180"/>
            <a:ext cx="984962" cy="1813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chemeClr val="bg1"/>
                </a:solidFill>
                <a:latin typeface="Leelawadee UI Semilight" panose="020B0402040204020203" pitchFamily="34" charset="-34"/>
                <a:ea typeface="Tahoma" panose="020B0604030504040204" pitchFamily="34" charset="0"/>
                <a:cs typeface="Leelawadee UI Semilight" panose="020B0402040204020203" pitchFamily="34" charset="-34"/>
              </a:rPr>
              <a:t>MÊS ANTERIOR</a:t>
            </a:r>
          </a:p>
        </xdr:txBody>
      </xdr:sp>
      <xdr:grpSp>
        <xdr:nvGrpSpPr>
          <xdr:cNvPr id="64" name="Arrow 3">
            <a:extLst>
              <a:ext uri="{FF2B5EF4-FFF2-40B4-BE49-F238E27FC236}">
                <a16:creationId xmlns:a16="http://schemas.microsoft.com/office/drawing/2014/main" id="{67BEC6A6-65F1-49A8-91DB-9DF2929E3368}"/>
              </a:ext>
            </a:extLst>
          </xdr:cNvPr>
          <xdr:cNvGrpSpPr>
            <a:grpSpLocks noChangeAspect="1"/>
          </xdr:cNvGrpSpPr>
        </xdr:nvGrpSpPr>
        <xdr:grpSpPr>
          <a:xfrm rot="10800000">
            <a:off x="8850104" y="2874478"/>
            <a:ext cx="218755" cy="227176"/>
            <a:chOff x="5019675" y="3124200"/>
            <a:chExt cx="219075" cy="219075"/>
          </a:xfrm>
        </xdr:grpSpPr>
        <xdr:sp macro="" textlink="">
          <xdr:nvSpPr>
            <xdr:cNvPr id="65" name="BackG">
              <a:extLst>
                <a:ext uri="{FF2B5EF4-FFF2-40B4-BE49-F238E27FC236}">
                  <a16:creationId xmlns:a16="http://schemas.microsoft.com/office/drawing/2014/main" id="{D3A0E8B9-CA54-4847-A669-E159C8728519}"/>
                </a:ext>
              </a:extLst>
            </xdr:cNvPr>
            <xdr:cNvSpPr/>
          </xdr:nvSpPr>
          <xdr:spPr>
            <a:xfrm>
              <a:off x="5019675" y="3124200"/>
              <a:ext cx="219075" cy="2190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66" name="updown03">
              <a:extLst>
                <a:ext uri="{FF2B5EF4-FFF2-40B4-BE49-F238E27FC236}">
                  <a16:creationId xmlns:a16="http://schemas.microsoft.com/office/drawing/2014/main" id="{08848516-FDF1-4B2F-8985-97BD840BE9EF}"/>
                </a:ext>
              </a:extLst>
            </xdr:cNvPr>
            <xdr:cNvSpPr/>
          </xdr:nvSpPr>
          <xdr:spPr>
            <a:xfrm rot="8100000">
              <a:off x="5068595" y="3201695"/>
              <a:ext cx="121234" cy="121234"/>
            </a:xfrm>
            <a:prstGeom prst="corner">
              <a:avLst>
                <a:gd name="adj1" fmla="val 30645"/>
                <a:gd name="adj2" fmla="val 31004"/>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98" name="Text - Amarelo">
            <a:extLst>
              <a:ext uri="{FF2B5EF4-FFF2-40B4-BE49-F238E27FC236}">
                <a16:creationId xmlns:a16="http://schemas.microsoft.com/office/drawing/2014/main" id="{D802251C-3491-47D0-A134-2F1A4EC8E173}"/>
              </a:ext>
            </a:extLst>
          </xdr:cNvPr>
          <xdr:cNvSpPr txBox="1">
            <a:spLocks noChangeAspect="1"/>
          </xdr:cNvSpPr>
        </xdr:nvSpPr>
        <xdr:spPr>
          <a:xfrm>
            <a:off x="8741840" y="2485908"/>
            <a:ext cx="2673440" cy="281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pt-BR" sz="900" b="1" cap="all" baseline="0">
                <a:solidFill>
                  <a:schemeClr val="tx1">
                    <a:lumMod val="75000"/>
                    <a:lumOff val="25000"/>
                  </a:schemeClr>
                </a:solidFill>
                <a:latin typeface="Leelawadee UI" panose="020B0502040204020203" pitchFamily="34" charset="-34"/>
                <a:ea typeface="Tahoma" panose="020B0604030504040204" pitchFamily="34" charset="0"/>
                <a:cs typeface="Leelawadee UI" panose="020B0502040204020203" pitchFamily="34" charset="-34"/>
              </a:rPr>
              <a:t>SOMA DOS GASTOS DO MêS</a:t>
            </a:r>
          </a:p>
        </xdr:txBody>
      </xdr:sp>
      <xdr:sp macro="" textlink="">
        <xdr:nvSpPr>
          <xdr:cNvPr id="107" name="Un - Number">
            <a:extLst>
              <a:ext uri="{FF2B5EF4-FFF2-40B4-BE49-F238E27FC236}">
                <a16:creationId xmlns:a16="http://schemas.microsoft.com/office/drawing/2014/main" id="{026CC705-3638-43AF-ABF4-67D8DD8821EB}"/>
              </a:ext>
            </a:extLst>
          </xdr:cNvPr>
          <xdr:cNvSpPr txBox="1">
            <a:spLocks noChangeAspect="1"/>
          </xdr:cNvSpPr>
        </xdr:nvSpPr>
        <xdr:spPr>
          <a:xfrm>
            <a:off x="9067136" y="2732289"/>
            <a:ext cx="568659" cy="473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0" cap="none" spc="0" normalizeH="0" baseline="0" noProof="0">
                <a:ln>
                  <a:noFill/>
                </a:ln>
                <a:solidFill>
                  <a:prstClr val="black">
                    <a:lumMod val="65000"/>
                    <a:lumOff val="35000"/>
                  </a:prstClr>
                </a:solidFill>
                <a:effectLst/>
                <a:uLnTx/>
                <a:uFillTx/>
                <a:latin typeface="+mn-lt"/>
                <a:ea typeface="Gadugi" panose="020B0502040204020203" pitchFamily="34" charset="0"/>
                <a:cs typeface="Calibri"/>
              </a:rPr>
              <a:t>R$</a:t>
            </a:r>
            <a:r>
              <a:rPr kumimoji="0" lang="en-US" sz="2000" b="0" i="0" u="none" strike="noStrike" kern="0" cap="none" spc="0" normalizeH="0" baseline="0" noProof="0">
                <a:ln>
                  <a:noFill/>
                </a:ln>
                <a:solidFill>
                  <a:prstClr val="black">
                    <a:lumMod val="85000"/>
                    <a:lumOff val="15000"/>
                  </a:prstClr>
                </a:solidFill>
                <a:effectLst/>
                <a:uLnTx/>
                <a:uFillTx/>
                <a:latin typeface="+mn-lt"/>
                <a:ea typeface="Gadugi" panose="020B0502040204020203" pitchFamily="34" charset="0"/>
                <a:cs typeface="Calibri"/>
              </a:rPr>
              <a:t>  </a:t>
            </a:r>
            <a:endParaRPr lang="en-US" sz="1100" b="0" i="0" u="none" strike="noStrike">
              <a:solidFill>
                <a:srgbClr val="000000"/>
              </a:solidFill>
              <a:latin typeface="+mn-lt"/>
              <a:ea typeface="Gadugi" panose="020B0502040204020203" pitchFamily="34" charset="0"/>
              <a:cs typeface="Calibri"/>
            </a:endParaRPr>
          </a:p>
        </xdr:txBody>
      </xdr:sp>
      <xdr:sp macro="" textlink="EDITAR!AB3">
        <xdr:nvSpPr>
          <xdr:cNvPr id="108" name="Var - Number">
            <a:extLst>
              <a:ext uri="{FF2B5EF4-FFF2-40B4-BE49-F238E27FC236}">
                <a16:creationId xmlns:a16="http://schemas.microsoft.com/office/drawing/2014/main" id="{F8DB56FC-02FC-49CF-A856-0BC71BEAB83E}"/>
              </a:ext>
            </a:extLst>
          </xdr:cNvPr>
          <xdr:cNvSpPr txBox="1">
            <a:spLocks noChangeAspect="1"/>
          </xdr:cNvSpPr>
        </xdr:nvSpPr>
        <xdr:spPr>
          <a:xfrm>
            <a:off x="9427907" y="2732289"/>
            <a:ext cx="2001420" cy="473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7C6463D0-F4E5-40A4-A521-CB53922B2E43}" type="TxLink">
              <a:rPr lang="en-US" sz="2800" b="1" i="0" u="none" strike="noStrike" noProof="0">
                <a:solidFill>
                  <a:schemeClr val="tx1">
                    <a:lumMod val="85000"/>
                    <a:lumOff val="15000"/>
                  </a:schemeClr>
                </a:solidFill>
                <a:latin typeface="+mn-lt"/>
                <a:ea typeface="Gadugi" panose="020B0502040204020203" pitchFamily="34" charset="0"/>
                <a:cs typeface="Calibri"/>
              </a:rPr>
              <a:pPr marL="0" marR="0" lvl="0" indent="0" algn="l" defTabSz="914400" eaLnBrk="1" fontAlgn="auto" latinLnBrk="0" hangingPunct="1">
                <a:lnSpc>
                  <a:spcPct val="100000"/>
                </a:lnSpc>
                <a:spcBef>
                  <a:spcPts val="0"/>
                </a:spcBef>
                <a:spcAft>
                  <a:spcPts val="0"/>
                </a:spcAft>
                <a:buClrTx/>
                <a:buSzTx/>
                <a:buFontTx/>
                <a:buNone/>
                <a:tabLst/>
                <a:defRPr/>
              </a:pPr>
              <a:t>-2.738,31</a:t>
            </a:fld>
            <a:endParaRPr lang="en-US" sz="2800" b="1" i="0" u="none" strike="noStrike">
              <a:solidFill>
                <a:schemeClr val="tx1">
                  <a:lumMod val="85000"/>
                  <a:lumOff val="15000"/>
                </a:schemeClr>
              </a:solidFill>
              <a:latin typeface="+mn-lt"/>
              <a:ea typeface="Gadugi" panose="020B0502040204020203" pitchFamily="34" charset="0"/>
              <a:cs typeface="Calibri"/>
            </a:endParaRPr>
          </a:p>
        </xdr:txBody>
      </xdr:sp>
      <xdr:sp macro="" textlink="">
        <xdr:nvSpPr>
          <xdr:cNvPr id="111" name="porcent03">
            <a:extLst>
              <a:ext uri="{FF2B5EF4-FFF2-40B4-BE49-F238E27FC236}">
                <a16:creationId xmlns:a16="http://schemas.microsoft.com/office/drawing/2014/main" id="{B85C7097-1DEA-4EAE-AAF4-6F891A65A013}"/>
              </a:ext>
            </a:extLst>
          </xdr:cNvPr>
          <xdr:cNvSpPr txBox="1">
            <a:spLocks noChangeAspect="1"/>
          </xdr:cNvSpPr>
        </xdr:nvSpPr>
        <xdr:spPr>
          <a:xfrm>
            <a:off x="10624705" y="3112671"/>
            <a:ext cx="858304" cy="238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FA66732F-16E8-4817-BF06-F62EECEE6CCE}" type="TxLink">
              <a:rPr lang="en-US" sz="1200" b="1" i="0" u="none" strike="noStrike" noProof="0">
                <a:solidFill>
                  <a:srgbClr val="00B050"/>
                </a:solidFill>
                <a:latin typeface="+mn-lt"/>
                <a:ea typeface="Gadugi" panose="020B0502040204020203" pitchFamily="34" charset="0"/>
                <a:cs typeface="Calibri"/>
              </a:rPr>
              <a:pPr marL="0" marR="0" lvl="0" indent="0" algn="r" defTabSz="914400" eaLnBrk="1" fontAlgn="auto" latinLnBrk="0" hangingPunct="1">
                <a:lnSpc>
                  <a:spcPct val="100000"/>
                </a:lnSpc>
                <a:spcBef>
                  <a:spcPts val="0"/>
                </a:spcBef>
                <a:spcAft>
                  <a:spcPts val="0"/>
                </a:spcAft>
                <a:buClrTx/>
                <a:buSzTx/>
                <a:buFontTx/>
                <a:buNone/>
                <a:tabLst/>
                <a:defRPr/>
              </a:pPr>
              <a:t>+ 3%</a:t>
            </a:fld>
            <a:endParaRPr lang="en-US" sz="1200" b="1" i="0" u="none" strike="noStrike">
              <a:solidFill>
                <a:srgbClr val="00B050"/>
              </a:solidFill>
              <a:latin typeface="+mn-lt"/>
              <a:ea typeface="Gadugi" panose="020B0502040204020203" pitchFamily="34" charset="0"/>
              <a:cs typeface="Calibri"/>
            </a:endParaRPr>
          </a:p>
        </xdr:txBody>
      </xdr:sp>
      <xdr:sp macro="" textlink="">
        <xdr:nvSpPr>
          <xdr:cNvPr id="117" name="Amarelo">
            <a:extLst>
              <a:ext uri="{FF2B5EF4-FFF2-40B4-BE49-F238E27FC236}">
                <a16:creationId xmlns:a16="http://schemas.microsoft.com/office/drawing/2014/main" id="{757DED02-8BE5-45DA-9898-D50F86E5920D}"/>
              </a:ext>
            </a:extLst>
          </xdr:cNvPr>
          <xdr:cNvSpPr>
            <a:spLocks noChangeAspect="1"/>
          </xdr:cNvSpPr>
        </xdr:nvSpPr>
        <xdr:spPr>
          <a:xfrm>
            <a:off x="11155783" y="2578590"/>
            <a:ext cx="161880" cy="47410"/>
          </a:xfrm>
          <a:prstGeom prst="roundRect">
            <a:avLst>
              <a:gd name="adj" fmla="val 50000"/>
            </a:avLst>
          </a:prstGeom>
          <a:solidFill>
            <a:srgbClr val="FFC000"/>
          </a:solidFill>
          <a:ln>
            <a:noFill/>
          </a:ln>
          <a:effectLst>
            <a:outerShdw blurRad="889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BR" sz="1100"/>
          </a:p>
        </xdr:txBody>
      </xdr:sp>
    </xdr:grpSp>
    <xdr:clientData/>
  </xdr:twoCellAnchor>
  <xdr:twoCellAnchor editAs="absolute">
    <xdr:from>
      <xdr:col>29</xdr:col>
      <xdr:colOff>230842</xdr:colOff>
      <xdr:row>8</xdr:row>
      <xdr:rowOff>200745</xdr:rowOff>
    </xdr:from>
    <xdr:to>
      <xdr:col>36</xdr:col>
      <xdr:colOff>0</xdr:colOff>
      <xdr:row>11</xdr:row>
      <xdr:rowOff>238125</xdr:rowOff>
    </xdr:to>
    <xdr:grpSp>
      <xdr:nvGrpSpPr>
        <xdr:cNvPr id="243" name="Agrupar 242">
          <a:extLst>
            <a:ext uri="{FF2B5EF4-FFF2-40B4-BE49-F238E27FC236}">
              <a16:creationId xmlns:a16="http://schemas.microsoft.com/office/drawing/2014/main" id="{27A17DBF-7189-4CF7-B393-B954D44860A2}"/>
            </a:ext>
          </a:extLst>
        </xdr:cNvPr>
        <xdr:cNvGrpSpPr>
          <a:grpSpLocks/>
        </xdr:cNvGrpSpPr>
      </xdr:nvGrpSpPr>
      <xdr:grpSpPr>
        <a:xfrm>
          <a:off x="11813242" y="3020145"/>
          <a:ext cx="2740958" cy="1094655"/>
          <a:chOff x="11570955" y="2456276"/>
          <a:chExt cx="2740958" cy="1094655"/>
        </a:xfrm>
      </xdr:grpSpPr>
      <xdr:sp macro="" textlink="">
        <xdr:nvSpPr>
          <xdr:cNvPr id="56" name="Retângulo: Cantos Arredondados 55">
            <a:extLst>
              <a:ext uri="{FF2B5EF4-FFF2-40B4-BE49-F238E27FC236}">
                <a16:creationId xmlns:a16="http://schemas.microsoft.com/office/drawing/2014/main" id="{3EB6DE99-E37D-4C08-8BAC-2433E85B3079}"/>
              </a:ext>
            </a:extLst>
          </xdr:cNvPr>
          <xdr:cNvSpPr>
            <a:spLocks noChangeAspect="1"/>
          </xdr:cNvSpPr>
        </xdr:nvSpPr>
        <xdr:spPr>
          <a:xfrm>
            <a:off x="11570955" y="2544664"/>
            <a:ext cx="2698641" cy="1006267"/>
          </a:xfrm>
          <a:prstGeom prst="roundRect">
            <a:avLst>
              <a:gd name="adj" fmla="val 9504"/>
            </a:avLst>
          </a:prstGeom>
          <a:solidFill>
            <a:srgbClr val="C00000"/>
          </a:solidFill>
          <a:ln>
            <a:noFill/>
          </a:ln>
          <a:effectLst>
            <a:outerShdw blurRad="889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BR" sz="1100"/>
          </a:p>
        </xdr:txBody>
      </xdr:sp>
      <xdr:sp macro="" textlink="">
        <xdr:nvSpPr>
          <xdr:cNvPr id="57" name="Retângulo: Cantos Arredondados 56">
            <a:extLst>
              <a:ext uri="{FF2B5EF4-FFF2-40B4-BE49-F238E27FC236}">
                <a16:creationId xmlns:a16="http://schemas.microsoft.com/office/drawing/2014/main" id="{49D089DE-E725-4950-8FE8-95B612537D44}"/>
              </a:ext>
            </a:extLst>
          </xdr:cNvPr>
          <xdr:cNvSpPr>
            <a:spLocks noChangeAspect="1"/>
          </xdr:cNvSpPr>
        </xdr:nvSpPr>
        <xdr:spPr>
          <a:xfrm>
            <a:off x="11570955" y="2456276"/>
            <a:ext cx="2698641" cy="895315"/>
          </a:xfrm>
          <a:prstGeom prst="roundRect">
            <a:avLst>
              <a:gd name="adj" fmla="val 9600"/>
            </a:avLst>
          </a:prstGeom>
          <a:solidFill>
            <a:schemeClr val="bg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BR" sz="1100">
              <a:solidFill>
                <a:schemeClr val="tx1">
                  <a:lumMod val="75000"/>
                  <a:lumOff val="25000"/>
                </a:schemeClr>
              </a:solidFill>
            </a:endParaRPr>
          </a:p>
        </xdr:txBody>
      </xdr:sp>
      <xdr:grpSp>
        <xdr:nvGrpSpPr>
          <xdr:cNvPr id="67" name="Arrow 4">
            <a:extLst>
              <a:ext uri="{FF2B5EF4-FFF2-40B4-BE49-F238E27FC236}">
                <a16:creationId xmlns:a16="http://schemas.microsoft.com/office/drawing/2014/main" id="{1AB080A2-4937-446A-BD05-BE2B09B665FD}"/>
              </a:ext>
            </a:extLst>
          </xdr:cNvPr>
          <xdr:cNvGrpSpPr>
            <a:grpSpLocks noChangeAspect="1"/>
          </xdr:cNvGrpSpPr>
        </xdr:nvGrpSpPr>
        <xdr:grpSpPr>
          <a:xfrm rot="10800000">
            <a:off x="11684734" y="2857301"/>
            <a:ext cx="218755" cy="227176"/>
            <a:chOff x="5019675" y="3124200"/>
            <a:chExt cx="219075" cy="219075"/>
          </a:xfrm>
        </xdr:grpSpPr>
        <xdr:sp macro="" textlink="">
          <xdr:nvSpPr>
            <xdr:cNvPr id="68" name="BackG">
              <a:extLst>
                <a:ext uri="{FF2B5EF4-FFF2-40B4-BE49-F238E27FC236}">
                  <a16:creationId xmlns:a16="http://schemas.microsoft.com/office/drawing/2014/main" id="{C1435ECC-0BD5-4B2A-A1E5-E96B39E9A9CA}"/>
                </a:ext>
              </a:extLst>
            </xdr:cNvPr>
            <xdr:cNvSpPr/>
          </xdr:nvSpPr>
          <xdr:spPr>
            <a:xfrm>
              <a:off x="5019675" y="3124200"/>
              <a:ext cx="219075" cy="2190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69" name="updown04">
              <a:extLst>
                <a:ext uri="{FF2B5EF4-FFF2-40B4-BE49-F238E27FC236}">
                  <a16:creationId xmlns:a16="http://schemas.microsoft.com/office/drawing/2014/main" id="{64F92DE4-BDB0-44A1-9389-5083A0FD0AE9}"/>
                </a:ext>
              </a:extLst>
            </xdr:cNvPr>
            <xdr:cNvSpPr/>
          </xdr:nvSpPr>
          <xdr:spPr>
            <a:xfrm rot="8100000">
              <a:off x="5068595" y="3201695"/>
              <a:ext cx="121234" cy="121234"/>
            </a:xfrm>
            <a:prstGeom prst="corner">
              <a:avLst>
                <a:gd name="adj1" fmla="val 30645"/>
                <a:gd name="adj2" fmla="val 31004"/>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99" name="Text - Verde">
            <a:extLst>
              <a:ext uri="{FF2B5EF4-FFF2-40B4-BE49-F238E27FC236}">
                <a16:creationId xmlns:a16="http://schemas.microsoft.com/office/drawing/2014/main" id="{52AD4BFC-EF6F-4EAF-B61D-60CD5ABD7B74}"/>
              </a:ext>
            </a:extLst>
          </xdr:cNvPr>
          <xdr:cNvSpPr txBox="1">
            <a:spLocks noChangeAspect="1"/>
          </xdr:cNvSpPr>
        </xdr:nvSpPr>
        <xdr:spPr>
          <a:xfrm>
            <a:off x="11615486" y="2485908"/>
            <a:ext cx="2634895" cy="281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1" cap="all" baseline="0">
                <a:solidFill>
                  <a:schemeClr val="tx1">
                    <a:lumMod val="75000"/>
                    <a:lumOff val="25000"/>
                  </a:schemeClr>
                </a:solidFill>
                <a:latin typeface="Leelawadee UI" panose="020B0502040204020203" pitchFamily="34" charset="-34"/>
                <a:ea typeface="Tahoma" panose="020B0604030504040204" pitchFamily="34" charset="0"/>
                <a:cs typeface="Leelawadee UI" panose="020B0502040204020203" pitchFamily="34" charset="-34"/>
              </a:rPr>
              <a:t>MAIOR GASTO DO MÊS</a:t>
            </a:r>
          </a:p>
        </xdr:txBody>
      </xdr:sp>
      <xdr:sp macro="" textlink="">
        <xdr:nvSpPr>
          <xdr:cNvPr id="103" name="Un - Number">
            <a:extLst>
              <a:ext uri="{FF2B5EF4-FFF2-40B4-BE49-F238E27FC236}">
                <a16:creationId xmlns:a16="http://schemas.microsoft.com/office/drawing/2014/main" id="{A0C6C561-CAB1-45FD-BA94-D5D03445C3CC}"/>
              </a:ext>
            </a:extLst>
          </xdr:cNvPr>
          <xdr:cNvSpPr txBox="1">
            <a:spLocks noChangeAspect="1"/>
          </xdr:cNvSpPr>
        </xdr:nvSpPr>
        <xdr:spPr>
          <a:xfrm>
            <a:off x="11884587" y="2732289"/>
            <a:ext cx="568658" cy="473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0" cap="none" spc="0" normalizeH="0" baseline="0" noProof="0">
                <a:ln>
                  <a:noFill/>
                </a:ln>
                <a:solidFill>
                  <a:prstClr val="black">
                    <a:lumMod val="65000"/>
                    <a:lumOff val="35000"/>
                  </a:prstClr>
                </a:solidFill>
                <a:effectLst/>
                <a:uLnTx/>
                <a:uFillTx/>
                <a:latin typeface="+mn-lt"/>
                <a:ea typeface="Gadugi" panose="020B0502040204020203" pitchFamily="34" charset="0"/>
                <a:cs typeface="Calibri"/>
              </a:rPr>
              <a:t>R$</a:t>
            </a:r>
            <a:r>
              <a:rPr kumimoji="0" lang="en-US" sz="2000" b="0" i="0" u="none" strike="noStrike" kern="0" cap="none" spc="0" normalizeH="0" baseline="0" noProof="0">
                <a:ln>
                  <a:noFill/>
                </a:ln>
                <a:solidFill>
                  <a:prstClr val="black">
                    <a:lumMod val="85000"/>
                    <a:lumOff val="15000"/>
                  </a:prstClr>
                </a:solidFill>
                <a:effectLst/>
                <a:uLnTx/>
                <a:uFillTx/>
                <a:latin typeface="+mn-lt"/>
                <a:ea typeface="Gadugi" panose="020B0502040204020203" pitchFamily="34" charset="0"/>
                <a:cs typeface="Calibri"/>
              </a:rPr>
              <a:t>  </a:t>
            </a:r>
            <a:endParaRPr lang="en-US" sz="1100" b="0" i="0" u="none" strike="noStrike">
              <a:solidFill>
                <a:srgbClr val="000000"/>
              </a:solidFill>
              <a:latin typeface="+mn-lt"/>
              <a:ea typeface="Gadugi" panose="020B0502040204020203" pitchFamily="34" charset="0"/>
              <a:cs typeface="Calibri"/>
            </a:endParaRPr>
          </a:p>
        </xdr:txBody>
      </xdr:sp>
      <xdr:sp macro="" textlink="EDITAR!AB4">
        <xdr:nvSpPr>
          <xdr:cNvPr id="104" name="Var - Number">
            <a:extLst>
              <a:ext uri="{FF2B5EF4-FFF2-40B4-BE49-F238E27FC236}">
                <a16:creationId xmlns:a16="http://schemas.microsoft.com/office/drawing/2014/main" id="{E8DB1EA8-A108-47B3-96A0-0554B3E0D1E5}"/>
              </a:ext>
            </a:extLst>
          </xdr:cNvPr>
          <xdr:cNvSpPr txBox="1">
            <a:spLocks noChangeAspect="1"/>
          </xdr:cNvSpPr>
        </xdr:nvSpPr>
        <xdr:spPr>
          <a:xfrm>
            <a:off x="12245359" y="2732289"/>
            <a:ext cx="1932467" cy="473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F916038F-6052-43DE-81CB-8A36A693565C}" type="TxLink">
              <a:rPr lang="en-US" sz="2800" b="1" i="0" u="none" strike="noStrike" noProof="0">
                <a:solidFill>
                  <a:schemeClr val="tx1">
                    <a:lumMod val="85000"/>
                    <a:lumOff val="15000"/>
                  </a:schemeClr>
                </a:solidFill>
                <a:latin typeface="+mn-lt"/>
                <a:ea typeface="Gadugi" panose="020B0502040204020203" pitchFamily="34" charset="0"/>
                <a:cs typeface="Calibri"/>
              </a:rPr>
              <a:pPr marL="0" marR="0" lvl="0" indent="0" algn="l" defTabSz="914400" eaLnBrk="1" fontAlgn="auto" latinLnBrk="0" hangingPunct="1">
                <a:lnSpc>
                  <a:spcPct val="100000"/>
                </a:lnSpc>
                <a:spcBef>
                  <a:spcPts val="0"/>
                </a:spcBef>
                <a:spcAft>
                  <a:spcPts val="0"/>
                </a:spcAft>
                <a:buClrTx/>
                <a:buSzTx/>
                <a:buFontTx/>
                <a:buNone/>
                <a:tabLst/>
                <a:defRPr/>
              </a:pPr>
              <a:t>-930,00</a:t>
            </a:fld>
            <a:endParaRPr lang="en-US" sz="2800" b="1" i="0" u="none" strike="noStrike">
              <a:solidFill>
                <a:schemeClr val="tx1">
                  <a:lumMod val="85000"/>
                  <a:lumOff val="15000"/>
                </a:schemeClr>
              </a:solidFill>
              <a:latin typeface="+mn-lt"/>
              <a:ea typeface="Gadugi" panose="020B0502040204020203" pitchFamily="34" charset="0"/>
              <a:cs typeface="Calibri"/>
            </a:endParaRPr>
          </a:p>
        </xdr:txBody>
      </xdr:sp>
      <xdr:sp macro="" textlink="">
        <xdr:nvSpPr>
          <xdr:cNvPr id="112" name="porcent04">
            <a:extLst>
              <a:ext uri="{FF2B5EF4-FFF2-40B4-BE49-F238E27FC236}">
                <a16:creationId xmlns:a16="http://schemas.microsoft.com/office/drawing/2014/main" id="{9D327E4F-9DA4-4BED-B8DB-071D0971CB11}"/>
              </a:ext>
            </a:extLst>
          </xdr:cNvPr>
          <xdr:cNvSpPr txBox="1">
            <a:spLocks noChangeAspect="1"/>
          </xdr:cNvSpPr>
        </xdr:nvSpPr>
        <xdr:spPr>
          <a:xfrm>
            <a:off x="13604277" y="3111102"/>
            <a:ext cx="707636" cy="240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D90807AE-0B93-4148-A75C-D2D064DDD03B}" type="TxLink">
              <a:rPr lang="en-US" sz="1200" b="1" i="0" u="none" strike="noStrike" noProof="0">
                <a:solidFill>
                  <a:srgbClr val="00B050"/>
                </a:solidFill>
                <a:latin typeface="+mn-lt"/>
                <a:ea typeface="Gadugi" panose="020B0502040204020203" pitchFamily="34" charset="0"/>
                <a:cs typeface="Calibri"/>
              </a:rPr>
              <a:pPr marL="0" marR="0" lvl="0" indent="0" algn="r" defTabSz="914400" eaLnBrk="1" fontAlgn="auto" latinLnBrk="0" hangingPunct="1">
                <a:lnSpc>
                  <a:spcPct val="100000"/>
                </a:lnSpc>
                <a:spcBef>
                  <a:spcPts val="0"/>
                </a:spcBef>
                <a:spcAft>
                  <a:spcPts val="0"/>
                </a:spcAft>
                <a:buClrTx/>
                <a:buSzTx/>
                <a:buFontTx/>
                <a:buNone/>
                <a:tabLst/>
                <a:defRPr/>
              </a:pPr>
              <a:t>+ 29%</a:t>
            </a:fld>
            <a:endParaRPr lang="en-US" sz="1200" b="1" i="0" u="none" strike="noStrike">
              <a:solidFill>
                <a:srgbClr val="00B050"/>
              </a:solidFill>
              <a:latin typeface="+mn-lt"/>
              <a:ea typeface="Gadugi" panose="020B0502040204020203" pitchFamily="34" charset="0"/>
              <a:cs typeface="Calibri"/>
            </a:endParaRPr>
          </a:p>
        </xdr:txBody>
      </xdr:sp>
      <xdr:sp macro="" textlink="">
        <xdr:nvSpPr>
          <xdr:cNvPr id="113" name="Num - Previsto">
            <a:extLst>
              <a:ext uri="{FF2B5EF4-FFF2-40B4-BE49-F238E27FC236}">
                <a16:creationId xmlns:a16="http://schemas.microsoft.com/office/drawing/2014/main" id="{0900E4B8-AB5E-4112-9F16-FCEA5EB0A964}"/>
              </a:ext>
            </a:extLst>
          </xdr:cNvPr>
          <xdr:cNvSpPr txBox="1">
            <a:spLocks noChangeAspect="1"/>
          </xdr:cNvSpPr>
        </xdr:nvSpPr>
        <xdr:spPr>
          <a:xfrm>
            <a:off x="12692029" y="3351592"/>
            <a:ext cx="1558351" cy="198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r>
              <a:rPr lang="en-US" sz="900" b="0">
                <a:solidFill>
                  <a:schemeClr val="bg1"/>
                </a:solidFill>
                <a:latin typeface="Leelawadee UI Semilight" panose="020B0402040204020203" pitchFamily="34" charset="-34"/>
                <a:ea typeface="Tahoma" panose="020B0604030504040204" pitchFamily="34" charset="0"/>
                <a:cs typeface="Leelawadee UI Semilight" panose="020B0402040204020203" pitchFamily="34" charset="-34"/>
              </a:rPr>
              <a:t>980</a:t>
            </a:r>
          </a:p>
        </xdr:txBody>
      </xdr:sp>
      <xdr:sp macro="" textlink="">
        <xdr:nvSpPr>
          <xdr:cNvPr id="114" name="Text - Previsto">
            <a:extLst>
              <a:ext uri="{FF2B5EF4-FFF2-40B4-BE49-F238E27FC236}">
                <a16:creationId xmlns:a16="http://schemas.microsoft.com/office/drawing/2014/main" id="{AAECD293-0B97-4D25-A81D-94EC68916CC9}"/>
              </a:ext>
            </a:extLst>
          </xdr:cNvPr>
          <xdr:cNvSpPr txBox="1">
            <a:spLocks/>
          </xdr:cNvSpPr>
        </xdr:nvSpPr>
        <xdr:spPr>
          <a:xfrm>
            <a:off x="11602857" y="3360180"/>
            <a:ext cx="720000" cy="1813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chemeClr val="bg1"/>
                </a:solidFill>
                <a:latin typeface="Leelawadee UI Semilight" panose="020B0402040204020203" pitchFamily="34" charset="-34"/>
                <a:ea typeface="Tahoma" panose="020B0604030504040204" pitchFamily="34" charset="0"/>
                <a:cs typeface="Leelawadee UI Semilight" panose="020B0402040204020203" pitchFamily="34" charset="-34"/>
              </a:rPr>
              <a:t>PREVISTO</a:t>
            </a:r>
          </a:p>
        </xdr:txBody>
      </xdr:sp>
      <xdr:sp macro="" textlink="">
        <xdr:nvSpPr>
          <xdr:cNvPr id="118" name="Verde">
            <a:extLst>
              <a:ext uri="{FF2B5EF4-FFF2-40B4-BE49-F238E27FC236}">
                <a16:creationId xmlns:a16="http://schemas.microsoft.com/office/drawing/2014/main" id="{16B1F162-2AC3-4D4A-BB0F-DDB83E4ECA44}"/>
              </a:ext>
            </a:extLst>
          </xdr:cNvPr>
          <xdr:cNvSpPr>
            <a:spLocks noChangeAspect="1"/>
          </xdr:cNvSpPr>
        </xdr:nvSpPr>
        <xdr:spPr>
          <a:xfrm>
            <a:off x="13993276" y="2578590"/>
            <a:ext cx="161880" cy="47410"/>
          </a:xfrm>
          <a:prstGeom prst="roundRect">
            <a:avLst>
              <a:gd name="adj" fmla="val 50000"/>
            </a:avLst>
          </a:prstGeom>
          <a:solidFill>
            <a:srgbClr val="00B050"/>
          </a:solidFill>
          <a:ln>
            <a:noFill/>
          </a:ln>
          <a:effectLst>
            <a:outerShdw blurRad="889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BR" sz="1100"/>
          </a:p>
        </xdr:txBody>
      </xdr:sp>
    </xdr:grpSp>
    <xdr:clientData/>
  </xdr:twoCellAnchor>
  <xdr:twoCellAnchor editAs="absolute">
    <xdr:from>
      <xdr:col>38</xdr:col>
      <xdr:colOff>86844</xdr:colOff>
      <xdr:row>10</xdr:row>
      <xdr:rowOff>307538</xdr:rowOff>
    </xdr:from>
    <xdr:to>
      <xdr:col>47</xdr:col>
      <xdr:colOff>51528</xdr:colOff>
      <xdr:row>20</xdr:row>
      <xdr:rowOff>314325</xdr:rowOff>
    </xdr:to>
    <xdr:grpSp>
      <xdr:nvGrpSpPr>
        <xdr:cNvPr id="90" name="Agrupar 89" hidden="1">
          <a:extLst>
            <a:ext uri="{FF2B5EF4-FFF2-40B4-BE49-F238E27FC236}">
              <a16:creationId xmlns:a16="http://schemas.microsoft.com/office/drawing/2014/main" id="{44A22907-1365-42C8-B5EB-F89F81754D3D}"/>
            </a:ext>
          </a:extLst>
        </xdr:cNvPr>
        <xdr:cNvGrpSpPr>
          <a:grpSpLocks/>
        </xdr:cNvGrpSpPr>
      </xdr:nvGrpSpPr>
      <xdr:grpSpPr>
        <a:xfrm>
          <a:off x="15441144" y="3831788"/>
          <a:ext cx="3565134" cy="3531037"/>
          <a:chOff x="10697694" y="3831788"/>
          <a:chExt cx="3565134" cy="3531037"/>
        </a:xfrm>
      </xdr:grpSpPr>
      <xdr:grpSp>
        <xdr:nvGrpSpPr>
          <xdr:cNvPr id="31" name="Graf - Comparativo Mensal">
            <a:extLst>
              <a:ext uri="{FF2B5EF4-FFF2-40B4-BE49-F238E27FC236}">
                <a16:creationId xmlns:a16="http://schemas.microsoft.com/office/drawing/2014/main" id="{13E16A9A-2BFB-47E8-B985-DADAC16FB3F5}"/>
              </a:ext>
            </a:extLst>
          </xdr:cNvPr>
          <xdr:cNvGrpSpPr>
            <a:grpSpLocks noChangeAspect="1"/>
          </xdr:cNvGrpSpPr>
        </xdr:nvGrpSpPr>
        <xdr:grpSpPr>
          <a:xfrm>
            <a:off x="10697694" y="3831788"/>
            <a:ext cx="3565134" cy="3531037"/>
            <a:chOff x="10287000" y="3733800"/>
            <a:chExt cx="3577580" cy="3706007"/>
          </a:xfrm>
        </xdr:grpSpPr>
        <xdr:sp macro="" textlink="">
          <xdr:nvSpPr>
            <xdr:cNvPr id="32" name="Background - Aba">
              <a:extLst>
                <a:ext uri="{FF2B5EF4-FFF2-40B4-BE49-F238E27FC236}">
                  <a16:creationId xmlns:a16="http://schemas.microsoft.com/office/drawing/2014/main" id="{82427EEE-0AA6-4FA5-9998-B72498A497A5}"/>
                </a:ext>
              </a:extLst>
            </xdr:cNvPr>
            <xdr:cNvSpPr/>
          </xdr:nvSpPr>
          <xdr:spPr>
            <a:xfrm>
              <a:off x="10287001" y="3743326"/>
              <a:ext cx="3577579" cy="3696481"/>
            </a:xfrm>
            <a:prstGeom prst="roundRect">
              <a:avLst>
                <a:gd name="adj" fmla="val 3641"/>
              </a:avLst>
            </a:prstGeom>
            <a:solidFill>
              <a:schemeClr val="bg1"/>
            </a:solidFill>
            <a:ln>
              <a:noFill/>
            </a:ln>
            <a:effectLst>
              <a:outerShdw blurRad="889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BR" sz="1100"/>
            </a:p>
          </xdr:txBody>
        </xdr:sp>
        <xdr:cxnSp macro="">
          <xdr:nvCxnSpPr>
            <xdr:cNvPr id="33" name="Linha - Gray">
              <a:extLst>
                <a:ext uri="{FF2B5EF4-FFF2-40B4-BE49-F238E27FC236}">
                  <a16:creationId xmlns:a16="http://schemas.microsoft.com/office/drawing/2014/main" id="{6F7223D9-11C1-40DE-814D-1E020B6A29D2}"/>
                </a:ext>
              </a:extLst>
            </xdr:cNvPr>
            <xdr:cNvCxnSpPr/>
          </xdr:nvCxnSpPr>
          <xdr:spPr>
            <a:xfrm>
              <a:off x="10287000" y="4248150"/>
              <a:ext cx="3575050" cy="0"/>
            </a:xfrm>
            <a:prstGeom prst="line">
              <a:avLst/>
            </a:prstGeom>
            <a:ln w="9525">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34" name="Text - Meta Mensal">
              <a:extLst>
                <a:ext uri="{FF2B5EF4-FFF2-40B4-BE49-F238E27FC236}">
                  <a16:creationId xmlns:a16="http://schemas.microsoft.com/office/drawing/2014/main" id="{61F81D06-0C31-43B8-8CC3-7ADB0DC628CC}"/>
                </a:ext>
              </a:extLst>
            </xdr:cNvPr>
            <xdr:cNvSpPr txBox="1"/>
          </xdr:nvSpPr>
          <xdr:spPr>
            <a:xfrm>
              <a:off x="10287000" y="3733800"/>
              <a:ext cx="249555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cap="none" baseline="0">
                  <a:solidFill>
                    <a:schemeClr val="tx1">
                      <a:lumMod val="85000"/>
                      <a:lumOff val="15000"/>
                    </a:schemeClr>
                  </a:solidFill>
                  <a:latin typeface="Gadugi" panose="020B0502040204020203" pitchFamily="34" charset="0"/>
                  <a:ea typeface="Gadugi" panose="020B0502040204020203" pitchFamily="34" charset="0"/>
                  <a:cs typeface="Lucida Sans Unicode" panose="020B0602030504020204" pitchFamily="34" charset="0"/>
                </a:rPr>
                <a:t>  Meta Mensal</a:t>
              </a:r>
            </a:p>
          </xdr:txBody>
        </xdr:sp>
      </xdr:grpSp>
      <xdr:grpSp>
        <xdr:nvGrpSpPr>
          <xdr:cNvPr id="35" name="Agrupar 34">
            <a:extLst>
              <a:ext uri="{FF2B5EF4-FFF2-40B4-BE49-F238E27FC236}">
                <a16:creationId xmlns:a16="http://schemas.microsoft.com/office/drawing/2014/main" id="{1E61A160-959C-40ED-BE5A-FD9BB025AC2E}"/>
              </a:ext>
            </a:extLst>
          </xdr:cNvPr>
          <xdr:cNvGrpSpPr>
            <a:grpSpLocks noChangeAspect="1"/>
          </xdr:cNvGrpSpPr>
        </xdr:nvGrpSpPr>
        <xdr:grpSpPr>
          <a:xfrm>
            <a:off x="11301613" y="4435314"/>
            <a:ext cx="2359028" cy="2380606"/>
            <a:chOff x="7412406" y="6091236"/>
            <a:chExt cx="2771776" cy="2772000"/>
          </a:xfrm>
        </xdr:grpSpPr>
        <xdr:graphicFrame macro="">
          <xdr:nvGraphicFramePr>
            <xdr:cNvPr id="36" name="Gráfico 35">
              <a:extLst>
                <a:ext uri="{FF2B5EF4-FFF2-40B4-BE49-F238E27FC236}">
                  <a16:creationId xmlns:a16="http://schemas.microsoft.com/office/drawing/2014/main" id="{3B3E80AD-5950-4D12-996D-56A3FE17838B}"/>
                </a:ext>
              </a:extLst>
            </xdr:cNvPr>
            <xdr:cNvGraphicFramePr/>
          </xdr:nvGraphicFramePr>
          <xdr:xfrm>
            <a:off x="7412406" y="6091236"/>
            <a:ext cx="2771776" cy="2772000"/>
          </xdr:xfrm>
          <a:graphic>
            <a:graphicData uri="http://schemas.openxmlformats.org/drawingml/2006/chart">
              <c:chart xmlns:c="http://schemas.openxmlformats.org/drawingml/2006/chart" xmlns:r="http://schemas.openxmlformats.org/officeDocument/2006/relationships" r:id="rId20"/>
            </a:graphicData>
          </a:graphic>
        </xdr:graphicFrame>
        <xdr:sp macro="" textlink="">
          <xdr:nvSpPr>
            <xdr:cNvPr id="37" name="Elipse 36">
              <a:extLst>
                <a:ext uri="{FF2B5EF4-FFF2-40B4-BE49-F238E27FC236}">
                  <a16:creationId xmlns:a16="http://schemas.microsoft.com/office/drawing/2014/main" id="{69244E0E-A24C-40FD-88F6-F0C2FE938A39}"/>
                </a:ext>
              </a:extLst>
            </xdr:cNvPr>
            <xdr:cNvSpPr/>
          </xdr:nvSpPr>
          <xdr:spPr>
            <a:xfrm>
              <a:off x="7717205" y="6396149"/>
              <a:ext cx="2162175" cy="2162175"/>
            </a:xfrm>
            <a:prstGeom prst="ellipse">
              <a:avLst/>
            </a:prstGeom>
            <a:solidFill>
              <a:schemeClr val="bg1"/>
            </a:solidFill>
            <a:ln>
              <a:noFill/>
            </a:ln>
            <a:effectLst>
              <a:outerShdw blurRad="114300" dist="25400" dir="5400000" sx="102000" sy="102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38" name="CaixaDeTexto 37">
            <a:extLst>
              <a:ext uri="{FF2B5EF4-FFF2-40B4-BE49-F238E27FC236}">
                <a16:creationId xmlns:a16="http://schemas.microsoft.com/office/drawing/2014/main" id="{6606E425-499D-4CE4-8B37-8642DE0E7F9D}"/>
              </a:ext>
            </a:extLst>
          </xdr:cNvPr>
          <xdr:cNvSpPr txBox="1">
            <a:spLocks noChangeAspect="1"/>
          </xdr:cNvSpPr>
        </xdr:nvSpPr>
        <xdr:spPr>
          <a:xfrm>
            <a:off x="11950673" y="5195946"/>
            <a:ext cx="1059177" cy="597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2967317-865A-4942-A11E-0E5126717F3D}" type="TxLink">
              <a:rPr lang="en-US" sz="3600" b="1" i="0" u="none" strike="noStrike" baseline="0">
                <a:solidFill>
                  <a:schemeClr val="tx1">
                    <a:lumMod val="85000"/>
                    <a:lumOff val="15000"/>
                  </a:schemeClr>
                </a:solidFill>
                <a:latin typeface="Gadugi" panose="020B0502040204020203" pitchFamily="34" charset="0"/>
                <a:ea typeface="Gadugi" panose="020B0502040204020203" pitchFamily="34" charset="0"/>
                <a:cs typeface="Calibri"/>
              </a:rPr>
              <a:pPr marL="0" indent="0" algn="ctr"/>
              <a:t>82</a:t>
            </a:fld>
            <a:endParaRPr lang="pt-BR" sz="3600" b="1" i="0" u="none" strike="noStrike" baseline="0">
              <a:solidFill>
                <a:schemeClr val="tx1">
                  <a:lumMod val="85000"/>
                  <a:lumOff val="15000"/>
                </a:schemeClr>
              </a:solidFill>
              <a:latin typeface="Gadugi" panose="020B0502040204020203" pitchFamily="34" charset="0"/>
              <a:ea typeface="Gadugi" panose="020B0502040204020203" pitchFamily="34" charset="0"/>
              <a:cs typeface="Calibri"/>
            </a:endParaRPr>
          </a:p>
        </xdr:txBody>
      </xdr:sp>
      <xdr:grpSp>
        <xdr:nvGrpSpPr>
          <xdr:cNvPr id="39" name="Agrupar 38">
            <a:extLst>
              <a:ext uri="{FF2B5EF4-FFF2-40B4-BE49-F238E27FC236}">
                <a16:creationId xmlns:a16="http://schemas.microsoft.com/office/drawing/2014/main" id="{71C2ECC2-F827-47B9-8E93-48454B98F4C2}"/>
              </a:ext>
            </a:extLst>
          </xdr:cNvPr>
          <xdr:cNvGrpSpPr>
            <a:grpSpLocks noChangeAspect="1"/>
          </xdr:cNvGrpSpPr>
        </xdr:nvGrpSpPr>
        <xdr:grpSpPr>
          <a:xfrm>
            <a:off x="11485610" y="6923425"/>
            <a:ext cx="2472831" cy="132868"/>
            <a:chOff x="12579727" y="7169738"/>
            <a:chExt cx="2486506" cy="117301"/>
          </a:xfrm>
        </xdr:grpSpPr>
        <xdr:graphicFrame macro="">
          <xdr:nvGraphicFramePr>
            <xdr:cNvPr id="40" name="Gráfico 39">
              <a:extLst>
                <a:ext uri="{FF2B5EF4-FFF2-40B4-BE49-F238E27FC236}">
                  <a16:creationId xmlns:a16="http://schemas.microsoft.com/office/drawing/2014/main" id="{88C7DC3A-31D4-432B-8D43-21F418EFDEFD}"/>
                </a:ext>
              </a:extLst>
            </xdr:cNvPr>
            <xdr:cNvGraphicFramePr>
              <a:graphicFrameLocks/>
            </xdr:cNvGraphicFramePr>
          </xdr:nvGraphicFramePr>
          <xdr:xfrm>
            <a:off x="12589733" y="7191375"/>
            <a:ext cx="2476500" cy="76200"/>
          </xdr:xfrm>
          <a:graphic>
            <a:graphicData uri="http://schemas.openxmlformats.org/drawingml/2006/chart">
              <c:chart xmlns:c="http://schemas.openxmlformats.org/drawingml/2006/chart" xmlns:r="http://schemas.openxmlformats.org/officeDocument/2006/relationships" r:id="rId21"/>
            </a:graphicData>
          </a:graphic>
        </xdr:graphicFrame>
        <xdr:sp macro="" textlink="">
          <xdr:nvSpPr>
            <xdr:cNvPr id="41" name="Retângulo: Cantos Arredondados 40">
              <a:extLst>
                <a:ext uri="{FF2B5EF4-FFF2-40B4-BE49-F238E27FC236}">
                  <a16:creationId xmlns:a16="http://schemas.microsoft.com/office/drawing/2014/main" id="{2E3406E7-8464-41F1-8947-55E08D362E14}"/>
                </a:ext>
              </a:extLst>
            </xdr:cNvPr>
            <xdr:cNvSpPr/>
          </xdr:nvSpPr>
          <xdr:spPr>
            <a:xfrm>
              <a:off x="12579727" y="7169738"/>
              <a:ext cx="2470770" cy="117301"/>
            </a:xfrm>
            <a:prstGeom prst="roundRect">
              <a:avLst>
                <a:gd name="adj" fmla="val 50000"/>
              </a:avLst>
            </a:prstGeom>
            <a:noFill/>
            <a:ln w="571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54" name="Meta Anual (%)">
            <a:extLst>
              <a:ext uri="{FF2B5EF4-FFF2-40B4-BE49-F238E27FC236}">
                <a16:creationId xmlns:a16="http://schemas.microsoft.com/office/drawing/2014/main" id="{426DC215-D525-4FE5-8EA8-E5F28B9ADAF4}"/>
              </a:ext>
            </a:extLst>
          </xdr:cNvPr>
          <xdr:cNvSpPr txBox="1">
            <a:spLocks noChangeAspect="1"/>
          </xdr:cNvSpPr>
        </xdr:nvSpPr>
        <xdr:spPr>
          <a:xfrm>
            <a:off x="10700770" y="6765377"/>
            <a:ext cx="842190" cy="378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99DD67DF-BC22-446F-A574-75330AD96F70}" type="TxLink">
              <a:rPr lang="en-US" sz="1800" b="1" i="0" u="none" strike="noStrike">
                <a:solidFill>
                  <a:srgbClr val="EEB500"/>
                </a:solidFill>
                <a:latin typeface="Gadugi" panose="020B0502040204020203" pitchFamily="34" charset="0"/>
                <a:ea typeface="Gadugi" panose="020B0502040204020203" pitchFamily="34" charset="0"/>
                <a:cs typeface="Microsoft Sans Serif" panose="020B0604020202020204" pitchFamily="34" charset="0"/>
              </a:rPr>
              <a:pPr marL="0" indent="0" algn="r"/>
              <a:t> 90%</a:t>
            </a:fld>
            <a:endParaRPr lang="en-US" sz="1800" b="1" i="0" u="none" strike="noStrike">
              <a:solidFill>
                <a:srgbClr val="EEB500"/>
              </a:solidFill>
              <a:latin typeface="Gadugi" panose="020B0502040204020203" pitchFamily="34" charset="0"/>
              <a:ea typeface="Gadugi" panose="020B0502040204020203" pitchFamily="34" charset="0"/>
              <a:cs typeface="Microsoft Sans Serif" panose="020B0604020202020204" pitchFamily="34" charset="0"/>
            </a:endParaRPr>
          </a:p>
        </xdr:txBody>
      </xdr:sp>
      <xdr:sp macro="" textlink="">
        <xdr:nvSpPr>
          <xdr:cNvPr id="55" name="Text - Porcento">
            <a:extLst>
              <a:ext uri="{FF2B5EF4-FFF2-40B4-BE49-F238E27FC236}">
                <a16:creationId xmlns:a16="http://schemas.microsoft.com/office/drawing/2014/main" id="{D73B7457-42FE-4BF2-9116-52F729733953}"/>
              </a:ext>
            </a:extLst>
          </xdr:cNvPr>
          <xdr:cNvSpPr txBox="1">
            <a:spLocks noChangeAspect="1"/>
          </xdr:cNvSpPr>
        </xdr:nvSpPr>
        <xdr:spPr>
          <a:xfrm>
            <a:off x="11950672" y="5721993"/>
            <a:ext cx="1059179" cy="4671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365E413-78A9-456F-B610-F8749A565D8F}" type="TxLink">
              <a:rPr lang="en-US" sz="1600" b="0" i="0" u="none" strike="noStrike">
                <a:solidFill>
                  <a:schemeClr val="tx1">
                    <a:lumMod val="75000"/>
                    <a:lumOff val="25000"/>
                  </a:schemeClr>
                </a:solidFill>
                <a:latin typeface="Calibri"/>
                <a:ea typeface="+mn-ea"/>
                <a:cs typeface="Calibri"/>
              </a:rPr>
              <a:pPr marL="0" indent="0" algn="ctr"/>
              <a:t>Porcento</a:t>
            </a:fld>
            <a:endParaRPr lang="en-US" sz="1600" b="0" i="0" u="none" strike="noStrike">
              <a:solidFill>
                <a:schemeClr val="tx1">
                  <a:lumMod val="75000"/>
                  <a:lumOff val="25000"/>
                </a:schemeClr>
              </a:solidFill>
              <a:latin typeface="Calibri"/>
              <a:ea typeface="+mn-ea"/>
              <a:cs typeface="Calibri"/>
            </a:endParaRPr>
          </a:p>
        </xdr:txBody>
      </xdr:sp>
      <xdr:sp macro="" textlink="">
        <xdr:nvSpPr>
          <xdr:cNvPr id="119" name="Text - Vermelho">
            <a:extLst>
              <a:ext uri="{FF2B5EF4-FFF2-40B4-BE49-F238E27FC236}">
                <a16:creationId xmlns:a16="http://schemas.microsoft.com/office/drawing/2014/main" id="{7D36ECF1-1337-4E02-B28E-43014CFE13D6}"/>
              </a:ext>
            </a:extLst>
          </xdr:cNvPr>
          <xdr:cNvSpPr txBox="1">
            <a:spLocks noChangeAspect="1"/>
          </xdr:cNvSpPr>
        </xdr:nvSpPr>
        <xdr:spPr>
          <a:xfrm>
            <a:off x="12684554" y="6656700"/>
            <a:ext cx="1313123" cy="281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309844F5-FEFB-4D03-9E42-841FAD660A95}" type="TxLink">
              <a:rPr lang="en-US" sz="1100" b="1" cap="all" baseline="0">
                <a:solidFill>
                  <a:srgbClr val="FFC000"/>
                </a:solidFill>
                <a:latin typeface="Leelawadee UI" panose="020B0502040204020203" pitchFamily="34" charset="-34"/>
                <a:ea typeface="Tahoma" panose="020B0604030504040204" pitchFamily="34" charset="0"/>
                <a:cs typeface="Leelawadee UI" panose="020B0502040204020203" pitchFamily="34" charset="-34"/>
              </a:rPr>
              <a:pPr marL="0" indent="0" algn="r"/>
              <a:t>2022 × 2023</a:t>
            </a:fld>
            <a:endParaRPr lang="pt-BR" sz="1100" b="1" cap="all" baseline="0">
              <a:solidFill>
                <a:srgbClr val="FFC000"/>
              </a:solidFill>
              <a:latin typeface="Leelawadee UI" panose="020B0502040204020203" pitchFamily="34" charset="-34"/>
              <a:ea typeface="Tahoma" panose="020B0604030504040204" pitchFamily="34" charset="0"/>
              <a:cs typeface="Leelawadee UI" panose="020B0502040204020203" pitchFamily="34" charset="-34"/>
            </a:endParaRPr>
          </a:p>
        </xdr:txBody>
      </xdr:sp>
    </xdr:grpSp>
    <xdr:clientData/>
  </xdr:twoCellAnchor>
  <xdr:twoCellAnchor editAs="absolute">
    <xdr:from>
      <xdr:col>27</xdr:col>
      <xdr:colOff>127363</xdr:colOff>
      <xdr:row>4</xdr:row>
      <xdr:rowOff>287687</xdr:rowOff>
    </xdr:from>
    <xdr:to>
      <xdr:col>36</xdr:col>
      <xdr:colOff>0</xdr:colOff>
      <xdr:row>7</xdr:row>
      <xdr:rowOff>285752</xdr:rowOff>
    </xdr:to>
    <xdr:grpSp>
      <xdr:nvGrpSpPr>
        <xdr:cNvPr id="120" name="Agrupar 119">
          <a:extLst>
            <a:ext uri="{FF2B5EF4-FFF2-40B4-BE49-F238E27FC236}">
              <a16:creationId xmlns:a16="http://schemas.microsoft.com/office/drawing/2014/main" id="{36904CBB-34F0-4A5C-B83F-18123A1FEAB1}"/>
            </a:ext>
          </a:extLst>
        </xdr:cNvPr>
        <xdr:cNvGrpSpPr>
          <a:grpSpLocks/>
        </xdr:cNvGrpSpPr>
      </xdr:nvGrpSpPr>
      <xdr:grpSpPr>
        <a:xfrm>
          <a:off x="10909663" y="1697387"/>
          <a:ext cx="3644537" cy="1055340"/>
          <a:chOff x="10423656" y="7846863"/>
          <a:chExt cx="3644537" cy="1055340"/>
        </a:xfrm>
      </xdr:grpSpPr>
      <xdr:grpSp>
        <xdr:nvGrpSpPr>
          <xdr:cNvPr id="121" name="Vermelho - BackG">
            <a:extLst>
              <a:ext uri="{FF2B5EF4-FFF2-40B4-BE49-F238E27FC236}">
                <a16:creationId xmlns:a16="http://schemas.microsoft.com/office/drawing/2014/main" id="{8A49E685-9479-4CC8-B089-312A689CFB79}"/>
              </a:ext>
            </a:extLst>
          </xdr:cNvPr>
          <xdr:cNvGrpSpPr/>
        </xdr:nvGrpSpPr>
        <xdr:grpSpPr>
          <a:xfrm>
            <a:off x="10512022" y="7846863"/>
            <a:ext cx="3556171" cy="1055340"/>
            <a:chOff x="7390557" y="2859516"/>
            <a:chExt cx="2610000" cy="762426"/>
          </a:xfrm>
        </xdr:grpSpPr>
        <xdr:sp macro="" textlink="">
          <xdr:nvSpPr>
            <xdr:cNvPr id="127" name="Retângulo: Cantos Arredondados 126">
              <a:extLst>
                <a:ext uri="{FF2B5EF4-FFF2-40B4-BE49-F238E27FC236}">
                  <a16:creationId xmlns:a16="http://schemas.microsoft.com/office/drawing/2014/main" id="{8C9CA563-B4C6-4D63-A8EC-A8BDE3CF3169}"/>
                </a:ext>
              </a:extLst>
            </xdr:cNvPr>
            <xdr:cNvSpPr/>
          </xdr:nvSpPr>
          <xdr:spPr>
            <a:xfrm>
              <a:off x="7390557" y="2859516"/>
              <a:ext cx="2610000" cy="748663"/>
            </a:xfrm>
            <a:prstGeom prst="roundRect">
              <a:avLst>
                <a:gd name="adj" fmla="val 9917"/>
              </a:avLst>
            </a:prstGeom>
            <a:solidFill>
              <a:schemeClr val="lt1"/>
            </a:solidFill>
            <a:ln>
              <a:noFill/>
            </a:ln>
            <a:effectLst>
              <a:outerShdw blurRad="889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BR" sz="1100"/>
            </a:p>
          </xdr:txBody>
        </xdr:sp>
        <xdr:sp macro="" textlink="">
          <xdr:nvSpPr>
            <xdr:cNvPr id="128" name="Retângulo: Cantos Arredondados 127">
              <a:extLst>
                <a:ext uri="{FF2B5EF4-FFF2-40B4-BE49-F238E27FC236}">
                  <a16:creationId xmlns:a16="http://schemas.microsoft.com/office/drawing/2014/main" id="{DDE5D379-2B49-4B52-BA7D-D0CBD6748440}"/>
                </a:ext>
              </a:extLst>
            </xdr:cNvPr>
            <xdr:cNvSpPr/>
          </xdr:nvSpPr>
          <xdr:spPr>
            <a:xfrm>
              <a:off x="7390557" y="3065952"/>
              <a:ext cx="2610000" cy="555990"/>
            </a:xfrm>
            <a:prstGeom prst="roundRect">
              <a:avLst>
                <a:gd name="adj" fmla="val 13588"/>
              </a:avLst>
            </a:prstGeom>
            <a:gradFill>
              <a:gsLst>
                <a:gs pos="40000">
                  <a:srgbClr val="E5434A"/>
                </a:gs>
                <a:gs pos="0">
                  <a:srgbClr val="E33B57"/>
                </a:gs>
                <a:gs pos="100000">
                  <a:srgbClr val="F06813"/>
                </a:gs>
              </a:gsLst>
              <a:lin ang="135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BR" sz="1100">
                <a:solidFill>
                  <a:schemeClr val="tx1">
                    <a:lumMod val="75000"/>
                    <a:lumOff val="25000"/>
                  </a:schemeClr>
                </a:solidFill>
              </a:endParaRPr>
            </a:p>
          </xdr:txBody>
        </xdr:sp>
      </xdr:grpSp>
      <xdr:sp macro="" textlink="ACOMP!O7">
        <xdr:nvSpPr>
          <xdr:cNvPr id="122" name="Var - Number">
            <a:extLst>
              <a:ext uri="{FF2B5EF4-FFF2-40B4-BE49-F238E27FC236}">
                <a16:creationId xmlns:a16="http://schemas.microsoft.com/office/drawing/2014/main" id="{BD76C570-AFF6-43D1-8D8A-3E2D97D00E2A}"/>
              </a:ext>
            </a:extLst>
          </xdr:cNvPr>
          <xdr:cNvSpPr txBox="1"/>
        </xdr:nvSpPr>
        <xdr:spPr>
          <a:xfrm>
            <a:off x="10996278" y="8157853"/>
            <a:ext cx="2871946" cy="5321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191D01DF-F9B5-44F2-9B3F-0F033B3F3F7A}" type="TxLink">
              <a:rPr lang="en-US" sz="2800" b="1" i="0" u="none" strike="noStrike">
                <a:solidFill>
                  <a:schemeClr val="bg1"/>
                </a:solidFill>
                <a:latin typeface="Nexa Heavy" panose="00000A00000000000000" pitchFamily="2" charset="0"/>
                <a:ea typeface="Verdana" panose="020B0604030504040204" pitchFamily="34" charset="0"/>
                <a:cs typeface="Calibri"/>
              </a:rPr>
              <a:pPr marL="0" indent="0" algn="r"/>
              <a:t>2.301,69</a:t>
            </a:fld>
            <a:endParaRPr lang="pt-BR" sz="2800" b="1" i="0" u="none" strike="noStrike">
              <a:solidFill>
                <a:schemeClr val="bg1"/>
              </a:solidFill>
              <a:latin typeface="Nexa Heavy" panose="00000A00000000000000" pitchFamily="2" charset="0"/>
              <a:ea typeface="Verdana" panose="020B0604030504040204" pitchFamily="34" charset="0"/>
              <a:cs typeface="Calibri"/>
            </a:endParaRPr>
          </a:p>
        </xdr:txBody>
      </xdr:sp>
      <xdr:sp macro="" textlink="">
        <xdr:nvSpPr>
          <xdr:cNvPr id="123" name="Text - R$">
            <a:extLst>
              <a:ext uri="{FF2B5EF4-FFF2-40B4-BE49-F238E27FC236}">
                <a16:creationId xmlns:a16="http://schemas.microsoft.com/office/drawing/2014/main" id="{6DFF0233-A687-4797-BAD6-F73762749409}"/>
              </a:ext>
            </a:extLst>
          </xdr:cNvPr>
          <xdr:cNvSpPr txBox="1"/>
        </xdr:nvSpPr>
        <xdr:spPr>
          <a:xfrm>
            <a:off x="10423656" y="8266124"/>
            <a:ext cx="728459" cy="423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2000" b="0" i="0" u="none" strike="noStrike">
                <a:solidFill>
                  <a:schemeClr val="bg1"/>
                </a:solidFill>
                <a:latin typeface="Nexa Heavy" panose="00000A00000000000000" pitchFamily="2" charset="0"/>
                <a:cs typeface="Calibri"/>
              </a:rPr>
              <a:t>R$</a:t>
            </a:r>
          </a:p>
        </xdr:txBody>
      </xdr:sp>
      <xdr:sp macro="" textlink="ACOMP!O9">
        <xdr:nvSpPr>
          <xdr:cNvPr id="124" name="Text - Amarelo">
            <a:extLst>
              <a:ext uri="{FF2B5EF4-FFF2-40B4-BE49-F238E27FC236}">
                <a16:creationId xmlns:a16="http://schemas.microsoft.com/office/drawing/2014/main" id="{015EB713-E94C-4286-B489-301E3D2DC5E2}"/>
              </a:ext>
            </a:extLst>
          </xdr:cNvPr>
          <xdr:cNvSpPr txBox="1"/>
        </xdr:nvSpPr>
        <xdr:spPr>
          <a:xfrm>
            <a:off x="12805495" y="7873868"/>
            <a:ext cx="1205850" cy="238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297870DC-FFA2-4572-BD38-602E97874004}" type="TxLink">
              <a:rPr lang="en-US" sz="1000" b="1" i="0" u="none" strike="noStrike" cap="all" baseline="0">
                <a:gradFill>
                  <a:gsLst>
                    <a:gs pos="40000">
                      <a:srgbClr val="E5434A"/>
                    </a:gs>
                    <a:gs pos="0">
                      <a:srgbClr val="E33B57"/>
                    </a:gs>
                    <a:gs pos="100000">
                      <a:srgbClr val="F06813"/>
                    </a:gs>
                  </a:gsLst>
                  <a:lin ang="13500000" scaled="1"/>
                </a:gradFill>
                <a:latin typeface="Leelawadee UI" panose="020B0502040204020203" pitchFamily="34" charset="-34"/>
                <a:ea typeface="Tahoma" panose="020B0604030504040204" pitchFamily="34" charset="0"/>
                <a:cs typeface="Leelawadee UI" panose="020B0502040204020203" pitchFamily="34" charset="-34"/>
              </a:rPr>
              <a:pPr marL="0" indent="0" algn="r"/>
              <a:t>4.901,69</a:t>
            </a:fld>
            <a:endParaRPr lang="pt-BR" sz="1000" b="1" i="0" u="none" strike="noStrike" cap="all" baseline="0">
              <a:gradFill>
                <a:gsLst>
                  <a:gs pos="40000">
                    <a:srgbClr val="E5434A"/>
                  </a:gs>
                  <a:gs pos="0">
                    <a:srgbClr val="E33B57"/>
                  </a:gs>
                  <a:gs pos="100000">
                    <a:srgbClr val="F06813"/>
                  </a:gs>
                </a:gsLst>
                <a:lin ang="13500000" scaled="1"/>
              </a:gradFill>
              <a:latin typeface="Leelawadee UI" panose="020B0502040204020203" pitchFamily="34" charset="-34"/>
              <a:ea typeface="Tahoma" panose="020B0604030504040204" pitchFamily="34" charset="0"/>
              <a:cs typeface="Leelawadee UI" panose="020B0502040204020203" pitchFamily="34" charset="-34"/>
            </a:endParaRPr>
          </a:p>
        </xdr:txBody>
      </xdr:sp>
      <xdr:sp macro="" textlink="EDITAR!K23">
        <xdr:nvSpPr>
          <xdr:cNvPr id="125" name="Text - Amarelo">
            <a:extLst>
              <a:ext uri="{FF2B5EF4-FFF2-40B4-BE49-F238E27FC236}">
                <a16:creationId xmlns:a16="http://schemas.microsoft.com/office/drawing/2014/main" id="{8F410F60-364A-4FDE-BA30-DA53B06AE85F}"/>
              </a:ext>
            </a:extLst>
          </xdr:cNvPr>
          <xdr:cNvSpPr txBox="1"/>
        </xdr:nvSpPr>
        <xdr:spPr>
          <a:xfrm>
            <a:off x="10561998" y="7873868"/>
            <a:ext cx="2296520" cy="238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7A96571-A143-4CD0-AC10-47224DEDBE6F}" type="TxLink">
              <a:rPr lang="en-US" sz="1000" b="1" i="0" u="none" strike="noStrike" cap="all" baseline="0">
                <a:gradFill>
                  <a:gsLst>
                    <a:gs pos="40000">
                      <a:srgbClr val="E5434A"/>
                    </a:gs>
                    <a:gs pos="0">
                      <a:srgbClr val="E33B57"/>
                    </a:gs>
                    <a:gs pos="100000">
                      <a:srgbClr val="F06813"/>
                    </a:gs>
                  </a:gsLst>
                  <a:lin ang="13500000" scaled="1"/>
                </a:gradFill>
                <a:latin typeface="Leelawadee UI" panose="020B0502040204020203" pitchFamily="34" charset="-34"/>
                <a:ea typeface="Tahoma" panose="020B0604030504040204" pitchFamily="34" charset="0"/>
                <a:cs typeface="Leelawadee UI" panose="020B0502040204020203" pitchFamily="34" charset="-34"/>
              </a:rPr>
              <a:pPr marL="0" indent="0" algn="l"/>
              <a:t>SALDO PREVISTO (fevereiro)</a:t>
            </a:fld>
            <a:endParaRPr lang="en-US" sz="1000" b="1" i="0" u="none" strike="noStrike" cap="all" baseline="0">
              <a:gradFill>
                <a:gsLst>
                  <a:gs pos="40000">
                    <a:srgbClr val="E5434A"/>
                  </a:gs>
                  <a:gs pos="0">
                    <a:srgbClr val="E33B57"/>
                  </a:gs>
                  <a:gs pos="100000">
                    <a:srgbClr val="F06813"/>
                  </a:gs>
                </a:gsLst>
                <a:lin ang="13500000" scaled="1"/>
              </a:gradFill>
              <a:latin typeface="Leelawadee UI" panose="020B0502040204020203" pitchFamily="34" charset="-34"/>
              <a:ea typeface="Tahoma" panose="020B0604030504040204" pitchFamily="34" charset="0"/>
              <a:cs typeface="Leelawadee UI" panose="020B0502040204020203" pitchFamily="34" charset="-34"/>
            </a:endParaRPr>
          </a:p>
        </xdr:txBody>
      </xdr:sp>
    </xdr:grpSp>
    <xdr:clientData/>
  </xdr:twoCellAnchor>
  <xdr:twoCellAnchor editAs="absolute">
    <xdr:from>
      <xdr:col>3</xdr:col>
      <xdr:colOff>47923</xdr:colOff>
      <xdr:row>24</xdr:row>
      <xdr:rowOff>215070</xdr:rowOff>
    </xdr:from>
    <xdr:to>
      <xdr:col>4</xdr:col>
      <xdr:colOff>204151</xdr:colOff>
      <xdr:row>24</xdr:row>
      <xdr:rowOff>215070</xdr:rowOff>
    </xdr:to>
    <xdr:cxnSp macro="">
      <xdr:nvCxnSpPr>
        <xdr:cNvPr id="129" name="UI Splitter 5">
          <a:extLst>
            <a:ext uri="{FF2B5EF4-FFF2-40B4-BE49-F238E27FC236}">
              <a16:creationId xmlns:a16="http://schemas.microsoft.com/office/drawing/2014/main" id="{BD389CAC-287C-4BA4-8DFF-F5CF9D6ADEAD}"/>
            </a:ext>
          </a:extLst>
        </xdr:cNvPr>
        <xdr:cNvCxnSpPr>
          <a:cxnSpLocks/>
        </xdr:cNvCxnSpPr>
      </xdr:nvCxnSpPr>
      <xdr:spPr>
        <a:xfrm flipH="1">
          <a:off x="1248073" y="8673270"/>
          <a:ext cx="556278" cy="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47923</xdr:colOff>
      <xdr:row>15</xdr:row>
      <xdr:rowOff>319845</xdr:rowOff>
    </xdr:from>
    <xdr:to>
      <xdr:col>4</xdr:col>
      <xdr:colOff>204151</xdr:colOff>
      <xdr:row>15</xdr:row>
      <xdr:rowOff>319845</xdr:rowOff>
    </xdr:to>
    <xdr:cxnSp macro="">
      <xdr:nvCxnSpPr>
        <xdr:cNvPr id="130" name="UI Splitter 4">
          <a:extLst>
            <a:ext uri="{FF2B5EF4-FFF2-40B4-BE49-F238E27FC236}">
              <a16:creationId xmlns:a16="http://schemas.microsoft.com/office/drawing/2014/main" id="{6F2455F2-F890-4D6C-A776-A8E2CB6D136B}"/>
            </a:ext>
          </a:extLst>
        </xdr:cNvPr>
        <xdr:cNvCxnSpPr>
          <a:cxnSpLocks/>
        </xdr:cNvCxnSpPr>
      </xdr:nvCxnSpPr>
      <xdr:spPr>
        <a:xfrm flipH="1">
          <a:off x="1242878" y="5515300"/>
          <a:ext cx="554546" cy="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47923</xdr:colOff>
      <xdr:row>9</xdr:row>
      <xdr:rowOff>17812</xdr:rowOff>
    </xdr:from>
    <xdr:to>
      <xdr:col>4</xdr:col>
      <xdr:colOff>204151</xdr:colOff>
      <xdr:row>9</xdr:row>
      <xdr:rowOff>17812</xdr:rowOff>
    </xdr:to>
    <xdr:cxnSp macro="">
      <xdr:nvCxnSpPr>
        <xdr:cNvPr id="131" name="UI Splitter 3">
          <a:extLst>
            <a:ext uri="{FF2B5EF4-FFF2-40B4-BE49-F238E27FC236}">
              <a16:creationId xmlns:a16="http://schemas.microsoft.com/office/drawing/2014/main" id="{A29EC242-4AAF-48A2-98FD-AD434F7E9636}"/>
            </a:ext>
          </a:extLst>
        </xdr:cNvPr>
        <xdr:cNvCxnSpPr>
          <a:cxnSpLocks/>
        </xdr:cNvCxnSpPr>
      </xdr:nvCxnSpPr>
      <xdr:spPr>
        <a:xfrm flipH="1">
          <a:off x="1248073" y="3189637"/>
          <a:ext cx="556278" cy="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47923</xdr:colOff>
      <xdr:row>7</xdr:row>
      <xdr:rowOff>208312</xdr:rowOff>
    </xdr:from>
    <xdr:to>
      <xdr:col>4</xdr:col>
      <xdr:colOff>204151</xdr:colOff>
      <xdr:row>7</xdr:row>
      <xdr:rowOff>208312</xdr:rowOff>
    </xdr:to>
    <xdr:cxnSp macro="">
      <xdr:nvCxnSpPr>
        <xdr:cNvPr id="132" name="UI Splitter 2">
          <a:extLst>
            <a:ext uri="{FF2B5EF4-FFF2-40B4-BE49-F238E27FC236}">
              <a16:creationId xmlns:a16="http://schemas.microsoft.com/office/drawing/2014/main" id="{BACE4C58-F3EE-4688-B5A2-525BF6AC3942}"/>
            </a:ext>
          </a:extLst>
        </xdr:cNvPr>
        <xdr:cNvCxnSpPr>
          <a:cxnSpLocks/>
        </xdr:cNvCxnSpPr>
      </xdr:nvCxnSpPr>
      <xdr:spPr>
        <a:xfrm flipH="1">
          <a:off x="1248073" y="2675287"/>
          <a:ext cx="556278" cy="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47923</xdr:colOff>
      <xdr:row>4</xdr:row>
      <xdr:rowOff>315662</xdr:rowOff>
    </xdr:from>
    <xdr:to>
      <xdr:col>4</xdr:col>
      <xdr:colOff>204151</xdr:colOff>
      <xdr:row>4</xdr:row>
      <xdr:rowOff>315662</xdr:rowOff>
    </xdr:to>
    <xdr:cxnSp macro="">
      <xdr:nvCxnSpPr>
        <xdr:cNvPr id="133" name="UI Splitter 1">
          <a:extLst>
            <a:ext uri="{FF2B5EF4-FFF2-40B4-BE49-F238E27FC236}">
              <a16:creationId xmlns:a16="http://schemas.microsoft.com/office/drawing/2014/main" id="{623025B5-E567-4F0B-94AF-FA4A194B6FDD}"/>
            </a:ext>
          </a:extLst>
        </xdr:cNvPr>
        <xdr:cNvCxnSpPr>
          <a:cxnSpLocks/>
        </xdr:cNvCxnSpPr>
      </xdr:nvCxnSpPr>
      <xdr:spPr>
        <a:xfrm flipH="1">
          <a:off x="1242878" y="1701117"/>
          <a:ext cx="554546" cy="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216077</xdr:colOff>
      <xdr:row>12</xdr:row>
      <xdr:rowOff>182917</xdr:rowOff>
    </xdr:from>
    <xdr:to>
      <xdr:col>6</xdr:col>
      <xdr:colOff>35998</xdr:colOff>
      <xdr:row>13</xdr:row>
      <xdr:rowOff>137576</xdr:rowOff>
    </xdr:to>
    <xdr:grpSp>
      <xdr:nvGrpSpPr>
        <xdr:cNvPr id="178" name="Agrupar 177">
          <a:extLst>
            <a:ext uri="{FF2B5EF4-FFF2-40B4-BE49-F238E27FC236}">
              <a16:creationId xmlns:a16="http://schemas.microsoft.com/office/drawing/2014/main" id="{224E149D-AFB7-4BED-9FAE-EF607E24557D}"/>
            </a:ext>
          </a:extLst>
        </xdr:cNvPr>
        <xdr:cNvGrpSpPr>
          <a:grpSpLocks/>
        </xdr:cNvGrpSpPr>
      </xdr:nvGrpSpPr>
      <xdr:grpSpPr>
        <a:xfrm>
          <a:off x="616127" y="4412017"/>
          <a:ext cx="1820171" cy="307084"/>
          <a:chOff x="498363" y="3445969"/>
          <a:chExt cx="1820171" cy="307084"/>
        </a:xfrm>
      </xdr:grpSpPr>
      <xdr:grpSp>
        <xdr:nvGrpSpPr>
          <xdr:cNvPr id="179" name="Agrupar 178">
            <a:extLst>
              <a:ext uri="{FF2B5EF4-FFF2-40B4-BE49-F238E27FC236}">
                <a16:creationId xmlns:a16="http://schemas.microsoft.com/office/drawing/2014/main" id="{33AAFADE-5DFD-4C95-AFA9-85D707FF9980}"/>
              </a:ext>
            </a:extLst>
          </xdr:cNvPr>
          <xdr:cNvGrpSpPr/>
        </xdr:nvGrpSpPr>
        <xdr:grpSpPr>
          <a:xfrm>
            <a:off x="498363" y="3445969"/>
            <a:ext cx="1820171" cy="307084"/>
            <a:chOff x="498363" y="3522033"/>
            <a:chExt cx="1820171" cy="307084"/>
          </a:xfrm>
        </xdr:grpSpPr>
        <xdr:sp macro="" textlink="">
          <xdr:nvSpPr>
            <xdr:cNvPr id="181" name="Box - Representante">
              <a:extLst>
                <a:ext uri="{FF2B5EF4-FFF2-40B4-BE49-F238E27FC236}">
                  <a16:creationId xmlns:a16="http://schemas.microsoft.com/office/drawing/2014/main" id="{5394E811-B95E-4999-B2D3-AD0CB7699C22}"/>
                </a:ext>
              </a:extLst>
            </xdr:cNvPr>
            <xdr:cNvSpPr/>
          </xdr:nvSpPr>
          <xdr:spPr>
            <a:xfrm>
              <a:off x="498363" y="3531898"/>
              <a:ext cx="1820171" cy="276563"/>
            </a:xfrm>
            <a:prstGeom prst="roundRect">
              <a:avLst>
                <a:gd name="adj" fmla="val 50000"/>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82" name="Text - Representante">
              <a:extLst>
                <a:ext uri="{FF2B5EF4-FFF2-40B4-BE49-F238E27FC236}">
                  <a16:creationId xmlns:a16="http://schemas.microsoft.com/office/drawing/2014/main" id="{2E1BA018-B968-45EA-927D-9BE7505EF3C5}"/>
                </a:ext>
              </a:extLst>
            </xdr:cNvPr>
            <xdr:cNvSpPr txBox="1"/>
          </xdr:nvSpPr>
          <xdr:spPr>
            <a:xfrm>
              <a:off x="520079" y="3522033"/>
              <a:ext cx="1470646" cy="307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pt-BR" sz="800" b="1" cap="all">
                  <a:solidFill>
                    <a:schemeClr val="bg1"/>
                  </a:solidFill>
                  <a:latin typeface="Leelawadee UI" panose="020B0502040204020203" pitchFamily="34" charset="-34"/>
                  <a:ea typeface="Malgun Gothic" panose="020B0503020000020004" pitchFamily="34" charset="-127"/>
                  <a:cs typeface="Leelawadee UI" panose="020B0502040204020203" pitchFamily="34" charset="-34"/>
                </a:rPr>
                <a:t>sOMENTE FINANCEIRO</a:t>
              </a:r>
              <a:endParaRPr lang="pt-BR" sz="800" b="1" cap="all">
                <a:solidFill>
                  <a:schemeClr val="bg1"/>
                </a:solidFill>
                <a:latin typeface="MT Extra" panose="05050102010205020202" pitchFamily="18" charset="2"/>
                <a:ea typeface="Malgun Gothic" panose="020B0503020000020004" pitchFamily="34" charset="-127"/>
                <a:cs typeface="Leelawadee UI" panose="020B0502040204020203" pitchFamily="34" charset="-34"/>
              </a:endParaRPr>
            </a:p>
          </xdr:txBody>
        </xdr:sp>
      </xdr:grpSp>
      <xdr:pic>
        <xdr:nvPicPr>
          <xdr:cNvPr id="180" name="Gráfico 179" descr="Marca de seleção com preenchimento sólido">
            <a:extLst>
              <a:ext uri="{FF2B5EF4-FFF2-40B4-BE49-F238E27FC236}">
                <a16:creationId xmlns:a16="http://schemas.microsoft.com/office/drawing/2014/main" id="{BF8373EA-7973-497F-991E-122FD00516BC}"/>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2123330" y="3541616"/>
            <a:ext cx="115790" cy="115790"/>
          </a:xfrm>
          <a:prstGeom prst="rect">
            <a:avLst/>
          </a:prstGeom>
        </xdr:spPr>
      </xdr:pic>
    </xdr:grpSp>
    <xdr:clientData/>
  </xdr:twoCellAnchor>
  <xdr:twoCellAnchor editAs="absolute">
    <xdr:from>
      <xdr:col>1</xdr:col>
      <xdr:colOff>216077</xdr:colOff>
      <xdr:row>11</xdr:row>
      <xdr:rowOff>137274</xdr:rowOff>
    </xdr:from>
    <xdr:to>
      <xdr:col>6</xdr:col>
      <xdr:colOff>35998</xdr:colOff>
      <xdr:row>12</xdr:row>
      <xdr:rowOff>91933</xdr:rowOff>
    </xdr:to>
    <xdr:grpSp>
      <xdr:nvGrpSpPr>
        <xdr:cNvPr id="184" name="Agrupar 183">
          <a:extLst>
            <a:ext uri="{FF2B5EF4-FFF2-40B4-BE49-F238E27FC236}">
              <a16:creationId xmlns:a16="http://schemas.microsoft.com/office/drawing/2014/main" id="{D6E4D18A-4A9E-4BCB-A8E5-DF35CA8FAAE9}"/>
            </a:ext>
          </a:extLst>
        </xdr:cNvPr>
        <xdr:cNvGrpSpPr/>
      </xdr:nvGrpSpPr>
      <xdr:grpSpPr>
        <a:xfrm>
          <a:off x="616127" y="4013949"/>
          <a:ext cx="1820171" cy="307084"/>
          <a:chOff x="498363" y="3020617"/>
          <a:chExt cx="1820171" cy="307084"/>
        </a:xfrm>
      </xdr:grpSpPr>
      <xdr:sp macro="" textlink="">
        <xdr:nvSpPr>
          <xdr:cNvPr id="186" name="Box - Segmento">
            <a:extLst>
              <a:ext uri="{FF2B5EF4-FFF2-40B4-BE49-F238E27FC236}">
                <a16:creationId xmlns:a16="http://schemas.microsoft.com/office/drawing/2014/main" id="{08C7CE41-0D3D-4428-8AC6-674972C16C9E}"/>
              </a:ext>
            </a:extLst>
          </xdr:cNvPr>
          <xdr:cNvSpPr/>
        </xdr:nvSpPr>
        <xdr:spPr>
          <a:xfrm>
            <a:off x="498363" y="3035877"/>
            <a:ext cx="1820171" cy="276563"/>
          </a:xfrm>
          <a:prstGeom prst="roundRect">
            <a:avLst>
              <a:gd name="adj" fmla="val 50000"/>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87" name="Text - Representante">
            <a:extLst>
              <a:ext uri="{FF2B5EF4-FFF2-40B4-BE49-F238E27FC236}">
                <a16:creationId xmlns:a16="http://schemas.microsoft.com/office/drawing/2014/main" id="{3B60D15A-F90C-471E-81C9-95627D696FFF}"/>
              </a:ext>
            </a:extLst>
          </xdr:cNvPr>
          <xdr:cNvSpPr txBox="1"/>
        </xdr:nvSpPr>
        <xdr:spPr>
          <a:xfrm>
            <a:off x="520079" y="3020617"/>
            <a:ext cx="1199629" cy="307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pt-BR" sz="800" b="1" cap="all">
                <a:solidFill>
                  <a:schemeClr val="bg1"/>
                </a:solidFill>
                <a:latin typeface="Leelawadee UI" panose="020B0502040204020203" pitchFamily="34" charset="-34"/>
                <a:ea typeface="Malgun Gothic" panose="020B0503020000020004" pitchFamily="34" charset="-127"/>
                <a:cs typeface="Leelawadee UI" panose="020B0502040204020203" pitchFamily="34" charset="-34"/>
              </a:rPr>
              <a:t>REVENDA</a:t>
            </a:r>
          </a:p>
        </xdr:txBody>
      </xdr:sp>
    </xdr:grpSp>
    <xdr:clientData/>
  </xdr:twoCellAnchor>
  <xdr:twoCellAnchor editAs="absolute">
    <xdr:from>
      <xdr:col>1</xdr:col>
      <xdr:colOff>216077</xdr:colOff>
      <xdr:row>10</xdr:row>
      <xdr:rowOff>91631</xdr:rowOff>
    </xdr:from>
    <xdr:to>
      <xdr:col>6</xdr:col>
      <xdr:colOff>35998</xdr:colOff>
      <xdr:row>11</xdr:row>
      <xdr:rowOff>46290</xdr:rowOff>
    </xdr:to>
    <xdr:grpSp>
      <xdr:nvGrpSpPr>
        <xdr:cNvPr id="188" name="Agrupar 187">
          <a:extLst>
            <a:ext uri="{FF2B5EF4-FFF2-40B4-BE49-F238E27FC236}">
              <a16:creationId xmlns:a16="http://schemas.microsoft.com/office/drawing/2014/main" id="{B878E7FC-DCE0-4F7A-A278-0D2879F02858}"/>
            </a:ext>
          </a:extLst>
        </xdr:cNvPr>
        <xdr:cNvGrpSpPr>
          <a:grpSpLocks/>
        </xdr:cNvGrpSpPr>
      </xdr:nvGrpSpPr>
      <xdr:grpSpPr>
        <a:xfrm>
          <a:off x="616127" y="3615881"/>
          <a:ext cx="1820171" cy="307084"/>
          <a:chOff x="498363" y="2627013"/>
          <a:chExt cx="1820171" cy="307084"/>
        </a:xfrm>
      </xdr:grpSpPr>
      <xdr:grpSp>
        <xdr:nvGrpSpPr>
          <xdr:cNvPr id="189" name="Agrupar 188">
            <a:extLst>
              <a:ext uri="{FF2B5EF4-FFF2-40B4-BE49-F238E27FC236}">
                <a16:creationId xmlns:a16="http://schemas.microsoft.com/office/drawing/2014/main" id="{694C2188-B8F0-43E5-8686-37442AD90600}"/>
              </a:ext>
            </a:extLst>
          </xdr:cNvPr>
          <xdr:cNvGrpSpPr/>
        </xdr:nvGrpSpPr>
        <xdr:grpSpPr>
          <a:xfrm>
            <a:off x="498363" y="2627013"/>
            <a:ext cx="1820171" cy="307084"/>
            <a:chOff x="498363" y="2645733"/>
            <a:chExt cx="1820171" cy="307084"/>
          </a:xfrm>
        </xdr:grpSpPr>
        <xdr:sp macro="" textlink="">
          <xdr:nvSpPr>
            <xdr:cNvPr id="191" name="Box - Representante">
              <a:extLst>
                <a:ext uri="{FF2B5EF4-FFF2-40B4-BE49-F238E27FC236}">
                  <a16:creationId xmlns:a16="http://schemas.microsoft.com/office/drawing/2014/main" id="{E59A487C-C31F-430C-8B77-68D42AD07A96}"/>
                </a:ext>
              </a:extLst>
            </xdr:cNvPr>
            <xdr:cNvSpPr/>
          </xdr:nvSpPr>
          <xdr:spPr>
            <a:xfrm>
              <a:off x="498363" y="2655598"/>
              <a:ext cx="1820171" cy="276563"/>
            </a:xfrm>
            <a:prstGeom prst="roundRect">
              <a:avLst>
                <a:gd name="adj" fmla="val 50000"/>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92" name="Text - Representante">
              <a:extLst>
                <a:ext uri="{FF2B5EF4-FFF2-40B4-BE49-F238E27FC236}">
                  <a16:creationId xmlns:a16="http://schemas.microsoft.com/office/drawing/2014/main" id="{C248F7EA-C9B7-4505-A12D-FDE869D89335}"/>
                </a:ext>
              </a:extLst>
            </xdr:cNvPr>
            <xdr:cNvSpPr txBox="1"/>
          </xdr:nvSpPr>
          <xdr:spPr>
            <a:xfrm>
              <a:off x="520079" y="2645733"/>
              <a:ext cx="1199629" cy="307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pt-BR" sz="800" b="1" cap="all">
                  <a:solidFill>
                    <a:schemeClr val="bg1"/>
                  </a:solidFill>
                  <a:latin typeface="Leelawadee UI" panose="020B0502040204020203" pitchFamily="34" charset="-34"/>
                  <a:ea typeface="Malgun Gothic" panose="020B0503020000020004" pitchFamily="34" charset="-127"/>
                  <a:cs typeface="Leelawadee UI" panose="020B0502040204020203" pitchFamily="34" charset="-34"/>
                </a:rPr>
                <a:t>MOVIMENTAÇÃO</a:t>
              </a:r>
              <a:endParaRPr lang="pt-BR" sz="800" b="1" cap="all">
                <a:solidFill>
                  <a:schemeClr val="bg1"/>
                </a:solidFill>
                <a:latin typeface="MT Extra" panose="05050102010205020202" pitchFamily="18" charset="2"/>
                <a:ea typeface="Malgun Gothic" panose="020B0503020000020004" pitchFamily="34" charset="-127"/>
                <a:cs typeface="Leelawadee UI" panose="020B0502040204020203" pitchFamily="34" charset="-34"/>
              </a:endParaRPr>
            </a:p>
          </xdr:txBody>
        </xdr:sp>
      </xdr:grpSp>
      <xdr:pic>
        <xdr:nvPicPr>
          <xdr:cNvPr id="190" name="Gráfico 189" descr="Marca de seleção com preenchimento sólido">
            <a:extLst>
              <a:ext uri="{FF2B5EF4-FFF2-40B4-BE49-F238E27FC236}">
                <a16:creationId xmlns:a16="http://schemas.microsoft.com/office/drawing/2014/main" id="{D5D98416-2D91-4759-BE09-BA24E0D8C3A4}"/>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2123330" y="2722660"/>
            <a:ext cx="115790" cy="115790"/>
          </a:xfrm>
          <a:prstGeom prst="rect">
            <a:avLst/>
          </a:prstGeom>
        </xdr:spPr>
      </xdr:pic>
    </xdr:grpSp>
    <xdr:clientData/>
  </xdr:twoCellAnchor>
  <xdr:twoCellAnchor editAs="absolute">
    <xdr:from>
      <xdr:col>1</xdr:col>
      <xdr:colOff>193964</xdr:colOff>
      <xdr:row>9</xdr:row>
      <xdr:rowOff>85608</xdr:rowOff>
    </xdr:from>
    <xdr:to>
      <xdr:col>6</xdr:col>
      <xdr:colOff>41566</xdr:colOff>
      <xdr:row>10</xdr:row>
      <xdr:rowOff>14821</xdr:rowOff>
    </xdr:to>
    <xdr:grpSp>
      <xdr:nvGrpSpPr>
        <xdr:cNvPr id="193" name="Agrupar 192">
          <a:extLst>
            <a:ext uri="{FF2B5EF4-FFF2-40B4-BE49-F238E27FC236}">
              <a16:creationId xmlns:a16="http://schemas.microsoft.com/office/drawing/2014/main" id="{905414E5-B583-4CC1-A74A-8077BFB46AB8}"/>
            </a:ext>
          </a:extLst>
        </xdr:cNvPr>
        <xdr:cNvGrpSpPr>
          <a:grpSpLocks/>
        </xdr:cNvGrpSpPr>
      </xdr:nvGrpSpPr>
      <xdr:grpSpPr>
        <a:xfrm>
          <a:off x="594014" y="3257433"/>
          <a:ext cx="1847852" cy="281638"/>
          <a:chOff x="476250" y="2801965"/>
          <a:chExt cx="1847852" cy="281638"/>
        </a:xfrm>
      </xdr:grpSpPr>
      <xdr:sp macro="" textlink="">
        <xdr:nvSpPr>
          <xdr:cNvPr id="194" name="Text - Amarelo">
            <a:extLst>
              <a:ext uri="{FF2B5EF4-FFF2-40B4-BE49-F238E27FC236}">
                <a16:creationId xmlns:a16="http://schemas.microsoft.com/office/drawing/2014/main" id="{920247CE-9D5D-4E9E-9540-73058B2FB7B9}"/>
              </a:ext>
            </a:extLst>
          </xdr:cNvPr>
          <xdr:cNvSpPr txBox="1"/>
        </xdr:nvSpPr>
        <xdr:spPr>
          <a:xfrm>
            <a:off x="476250" y="2801965"/>
            <a:ext cx="1847852" cy="281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pt-BR" sz="900" b="1" cap="all" baseline="0">
                <a:solidFill>
                  <a:schemeClr val="tx1">
                    <a:lumMod val="75000"/>
                    <a:lumOff val="25000"/>
                  </a:schemeClr>
                </a:solidFill>
                <a:latin typeface="Leelawadee UI" panose="020B0502040204020203" pitchFamily="34" charset="-34"/>
                <a:ea typeface="Tahoma" panose="020B0604030504040204" pitchFamily="34" charset="0"/>
                <a:cs typeface="Leelawadee UI" panose="020B0502040204020203" pitchFamily="34" charset="-34"/>
              </a:rPr>
              <a:t>Filtros dinâmicos</a:t>
            </a:r>
          </a:p>
        </xdr:txBody>
      </xdr:sp>
      <xdr:pic>
        <xdr:nvPicPr>
          <xdr:cNvPr id="195" name="Imagem 194" descr="Filter icon - Free download on Iconfinder">
            <a:extLst>
              <a:ext uri="{FF2B5EF4-FFF2-40B4-BE49-F238E27FC236}">
                <a16:creationId xmlns:a16="http://schemas.microsoft.com/office/drawing/2014/main" id="{7C487A5B-5790-48BA-A3B2-1B33A9F1E95C}"/>
              </a:ext>
            </a:extLst>
          </xdr:cNvPr>
          <xdr:cNvPicPr>
            <a:picLocks noChangeAspect="1" noChangeArrowheads="1"/>
          </xdr:cNvPicPr>
        </xdr:nvPicPr>
        <xdr:blipFill>
          <a:blip xmlns:r="http://schemas.openxmlformats.org/officeDocument/2006/relationships" r:embed="rId24" cstate="print">
            <a:duotone>
              <a:schemeClr val="accent3">
                <a:shade val="45000"/>
                <a:satMod val="135000"/>
              </a:schemeClr>
              <a:prstClr val="white"/>
            </a:duotone>
            <a:extLst>
              <a:ext uri="{BEBA8EAE-BF5A-486C-A8C5-ECC9F3942E4B}">
                <a14:imgProps xmlns:a14="http://schemas.microsoft.com/office/drawing/2010/main">
                  <a14:imgLayer r:embed="rId25">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2143126" y="2880872"/>
            <a:ext cx="142874" cy="142874"/>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absolute">
    <xdr:from>
      <xdr:col>1</xdr:col>
      <xdr:colOff>216077</xdr:colOff>
      <xdr:row>6</xdr:row>
      <xdr:rowOff>151907</xdr:rowOff>
    </xdr:from>
    <xdr:to>
      <xdr:col>6</xdr:col>
      <xdr:colOff>35998</xdr:colOff>
      <xdr:row>7</xdr:row>
      <xdr:rowOff>76045</xdr:rowOff>
    </xdr:to>
    <xdr:grpSp>
      <xdr:nvGrpSpPr>
        <xdr:cNvPr id="196" name="Agrupar 195">
          <a:extLst>
            <a:ext uri="{FF2B5EF4-FFF2-40B4-BE49-F238E27FC236}">
              <a16:creationId xmlns:a16="http://schemas.microsoft.com/office/drawing/2014/main" id="{09FD66B3-44CB-4673-ACCA-3FD9473849A8}"/>
            </a:ext>
          </a:extLst>
        </xdr:cNvPr>
        <xdr:cNvGrpSpPr>
          <a:grpSpLocks/>
        </xdr:cNvGrpSpPr>
      </xdr:nvGrpSpPr>
      <xdr:grpSpPr>
        <a:xfrm>
          <a:off x="616127" y="2266457"/>
          <a:ext cx="1820171" cy="276563"/>
          <a:chOff x="498363" y="2111952"/>
          <a:chExt cx="1820171" cy="276563"/>
        </a:xfrm>
        <a:solidFill>
          <a:schemeClr val="tx1">
            <a:lumMod val="85000"/>
            <a:lumOff val="15000"/>
          </a:schemeClr>
        </a:solidFill>
      </xdr:grpSpPr>
      <xdr:sp macro="" textlink="">
        <xdr:nvSpPr>
          <xdr:cNvPr id="197" name="Box - Segmento">
            <a:extLst>
              <a:ext uri="{FF2B5EF4-FFF2-40B4-BE49-F238E27FC236}">
                <a16:creationId xmlns:a16="http://schemas.microsoft.com/office/drawing/2014/main" id="{83F7D262-3CD9-4395-806B-A4758495BFDC}"/>
              </a:ext>
            </a:extLst>
          </xdr:cNvPr>
          <xdr:cNvSpPr/>
        </xdr:nvSpPr>
        <xdr:spPr>
          <a:xfrm>
            <a:off x="498363" y="2111952"/>
            <a:ext cx="1820171" cy="276563"/>
          </a:xfrm>
          <a:prstGeom prst="roundRect">
            <a:avLst>
              <a:gd name="adj" fmla="val 50000"/>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98" name="Text - Representante">
            <a:extLst>
              <a:ext uri="{FF2B5EF4-FFF2-40B4-BE49-F238E27FC236}">
                <a16:creationId xmlns:a16="http://schemas.microsoft.com/office/drawing/2014/main" id="{D8AC29A6-AA52-490C-8AE9-922BC6F30D15}"/>
              </a:ext>
            </a:extLst>
          </xdr:cNvPr>
          <xdr:cNvSpPr txBox="1"/>
        </xdr:nvSpPr>
        <xdr:spPr>
          <a:xfrm>
            <a:off x="520079" y="2147192"/>
            <a:ext cx="1199629" cy="206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pt-BR" sz="800" b="1" cap="all">
                <a:solidFill>
                  <a:schemeClr val="bg1"/>
                </a:solidFill>
                <a:latin typeface="Leelawadee UI" panose="020B0502040204020203" pitchFamily="34" charset="-34"/>
                <a:ea typeface="Malgun Gothic" panose="020B0503020000020004" pitchFamily="34" charset="-127"/>
                <a:cs typeface="Leelawadee UI" panose="020B0502040204020203" pitchFamily="34" charset="-34"/>
              </a:rPr>
              <a:t>regiões</a:t>
            </a:r>
          </a:p>
        </xdr:txBody>
      </xdr:sp>
    </xdr:grpSp>
    <xdr:clientData/>
  </xdr:twoCellAnchor>
  <xdr:twoCellAnchor editAs="absolute">
    <xdr:from>
      <xdr:col>1</xdr:col>
      <xdr:colOff>216077</xdr:colOff>
      <xdr:row>5</xdr:row>
      <xdr:rowOff>95503</xdr:rowOff>
    </xdr:from>
    <xdr:to>
      <xdr:col>6</xdr:col>
      <xdr:colOff>35998</xdr:colOff>
      <xdr:row>6</xdr:row>
      <xdr:rowOff>19641</xdr:rowOff>
    </xdr:to>
    <xdr:grpSp>
      <xdr:nvGrpSpPr>
        <xdr:cNvPr id="199" name="Agrupar 198">
          <a:extLst>
            <a:ext uri="{FF2B5EF4-FFF2-40B4-BE49-F238E27FC236}">
              <a16:creationId xmlns:a16="http://schemas.microsoft.com/office/drawing/2014/main" id="{842F4AAA-BC7B-4265-855B-1179E8A291CC}"/>
            </a:ext>
          </a:extLst>
        </xdr:cNvPr>
        <xdr:cNvGrpSpPr>
          <a:grpSpLocks/>
        </xdr:cNvGrpSpPr>
      </xdr:nvGrpSpPr>
      <xdr:grpSpPr>
        <a:xfrm>
          <a:off x="616127" y="1857628"/>
          <a:ext cx="1820171" cy="276563"/>
          <a:chOff x="498363" y="1715528"/>
          <a:chExt cx="1820171" cy="276563"/>
        </a:xfrm>
      </xdr:grpSpPr>
      <xdr:grpSp>
        <xdr:nvGrpSpPr>
          <xdr:cNvPr id="200" name="Agrupar 199">
            <a:extLst>
              <a:ext uri="{FF2B5EF4-FFF2-40B4-BE49-F238E27FC236}">
                <a16:creationId xmlns:a16="http://schemas.microsoft.com/office/drawing/2014/main" id="{2CBC0E93-F3B3-4657-A570-074BD76ECDE4}"/>
              </a:ext>
            </a:extLst>
          </xdr:cNvPr>
          <xdr:cNvGrpSpPr/>
        </xdr:nvGrpSpPr>
        <xdr:grpSpPr>
          <a:xfrm>
            <a:off x="498363" y="1715528"/>
            <a:ext cx="1820171" cy="276563"/>
            <a:chOff x="498363" y="1731673"/>
            <a:chExt cx="1820171" cy="276563"/>
          </a:xfrm>
        </xdr:grpSpPr>
        <xdr:sp macro="" textlink="">
          <xdr:nvSpPr>
            <xdr:cNvPr id="202" name="Box - Representante">
              <a:extLst>
                <a:ext uri="{FF2B5EF4-FFF2-40B4-BE49-F238E27FC236}">
                  <a16:creationId xmlns:a16="http://schemas.microsoft.com/office/drawing/2014/main" id="{C2B67D56-31B1-43A5-ADB3-A1A7FFE1E862}"/>
                </a:ext>
              </a:extLst>
            </xdr:cNvPr>
            <xdr:cNvSpPr/>
          </xdr:nvSpPr>
          <xdr:spPr>
            <a:xfrm>
              <a:off x="498363" y="1731673"/>
              <a:ext cx="1820171" cy="276563"/>
            </a:xfrm>
            <a:prstGeom prst="roundRect">
              <a:avLst>
                <a:gd name="adj" fmla="val 50000"/>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3" name="Text - Representante">
              <a:extLst>
                <a:ext uri="{FF2B5EF4-FFF2-40B4-BE49-F238E27FC236}">
                  <a16:creationId xmlns:a16="http://schemas.microsoft.com/office/drawing/2014/main" id="{DB1014CA-F0E6-4A7C-927C-850AB2350E43}"/>
                </a:ext>
              </a:extLst>
            </xdr:cNvPr>
            <xdr:cNvSpPr txBox="1"/>
          </xdr:nvSpPr>
          <xdr:spPr>
            <a:xfrm>
              <a:off x="520079" y="1772405"/>
              <a:ext cx="1199629" cy="2058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pt-BR" sz="800" b="1" cap="all">
                  <a:solidFill>
                    <a:schemeClr val="bg1"/>
                  </a:solidFill>
                  <a:latin typeface="Leelawadee UI" panose="020B0502040204020203" pitchFamily="34" charset="-34"/>
                  <a:ea typeface="Malgun Gothic" panose="020B0503020000020004" pitchFamily="34" charset="-127"/>
                  <a:cs typeface="Leelawadee UI" panose="020B0502040204020203" pitchFamily="34" charset="-34"/>
                </a:rPr>
                <a:t>dia</a:t>
              </a:r>
              <a:r>
                <a:rPr lang="pt-BR" sz="800" b="1" cap="all" baseline="0">
                  <a:solidFill>
                    <a:schemeClr val="bg1"/>
                  </a:solidFill>
                  <a:latin typeface="Leelawadee UI" panose="020B0502040204020203" pitchFamily="34" charset="-34"/>
                  <a:ea typeface="Malgun Gothic" panose="020B0503020000020004" pitchFamily="34" charset="-127"/>
                  <a:cs typeface="Leelawadee UI" panose="020B0502040204020203" pitchFamily="34" charset="-34"/>
                </a:rPr>
                <a:t> a dia</a:t>
              </a:r>
              <a:endParaRPr lang="pt-BR" sz="800" b="1" cap="all">
                <a:solidFill>
                  <a:schemeClr val="bg1"/>
                </a:solidFill>
                <a:latin typeface="MT Extra" panose="05050102010205020202" pitchFamily="18" charset="2"/>
                <a:ea typeface="Malgun Gothic" panose="020B0503020000020004" pitchFamily="34" charset="-127"/>
                <a:cs typeface="Leelawadee UI" panose="020B0502040204020203" pitchFamily="34" charset="-34"/>
              </a:endParaRPr>
            </a:p>
          </xdr:txBody>
        </xdr:sp>
      </xdr:grpSp>
      <xdr:sp macro="" textlink="">
        <xdr:nvSpPr>
          <xdr:cNvPr id="201" name="Elipse 200">
            <a:extLst>
              <a:ext uri="{FF2B5EF4-FFF2-40B4-BE49-F238E27FC236}">
                <a16:creationId xmlns:a16="http://schemas.microsoft.com/office/drawing/2014/main" id="{42B7BE8E-07AC-4E0B-A902-370F62C4535F}"/>
              </a:ext>
            </a:extLst>
          </xdr:cNvPr>
          <xdr:cNvSpPr/>
        </xdr:nvSpPr>
        <xdr:spPr>
          <a:xfrm>
            <a:off x="2143125" y="1825234"/>
            <a:ext cx="57150" cy="5715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twoCellAnchor editAs="absolute">
    <xdr:from>
      <xdr:col>0</xdr:col>
      <xdr:colOff>393989</xdr:colOff>
      <xdr:row>24</xdr:row>
      <xdr:rowOff>251525</xdr:rowOff>
    </xdr:from>
    <xdr:to>
      <xdr:col>6</xdr:col>
      <xdr:colOff>222539</xdr:colOff>
      <xdr:row>25</xdr:row>
      <xdr:rowOff>62067</xdr:rowOff>
    </xdr:to>
    <xdr:sp macro="" textlink="">
      <xdr:nvSpPr>
        <xdr:cNvPr id="205" name="URL Text">
          <a:extLst>
            <a:ext uri="{FF2B5EF4-FFF2-40B4-BE49-F238E27FC236}">
              <a16:creationId xmlns:a16="http://schemas.microsoft.com/office/drawing/2014/main" id="{1BBAF6CE-4593-499C-A3C6-60659981C2BC}"/>
            </a:ext>
          </a:extLst>
        </xdr:cNvPr>
        <xdr:cNvSpPr txBox="1">
          <a:spLocks/>
        </xdr:cNvSpPr>
      </xdr:nvSpPr>
      <xdr:spPr>
        <a:xfrm>
          <a:off x="393989" y="8709725"/>
          <a:ext cx="2228850" cy="296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0">
              <a:solidFill>
                <a:schemeClr val="tx1">
                  <a:lumMod val="65000"/>
                  <a:lumOff val="35000"/>
                </a:schemeClr>
              </a:solidFill>
              <a:latin typeface="Nirmala UI" panose="020B0502040204020203" pitchFamily="34" charset="0"/>
              <a:ea typeface="Nirmala UI" panose="020B0502040204020203" pitchFamily="34" charset="0"/>
              <a:cs typeface="Nirmala UI" panose="020B0502040204020203" pitchFamily="34" charset="0"/>
            </a:rPr>
            <a:t>2024 ® Lucas Bonato</a:t>
          </a:r>
        </a:p>
      </xdr:txBody>
    </xdr:sp>
    <xdr:clientData/>
  </xdr:twoCellAnchor>
  <xdr:twoCellAnchor editAs="absolute">
    <xdr:from>
      <xdr:col>3</xdr:col>
      <xdr:colOff>129804</xdr:colOff>
      <xdr:row>8</xdr:row>
      <xdr:rowOff>0</xdr:rowOff>
    </xdr:from>
    <xdr:to>
      <xdr:col>4</xdr:col>
      <xdr:colOff>116732</xdr:colOff>
      <xdr:row>8</xdr:row>
      <xdr:rowOff>246530</xdr:rowOff>
    </xdr:to>
    <xdr:pic>
      <xdr:nvPicPr>
        <xdr:cNvPr id="212" name="Imagem 211">
          <a:extLst>
            <a:ext uri="{FF2B5EF4-FFF2-40B4-BE49-F238E27FC236}">
              <a16:creationId xmlns:a16="http://schemas.microsoft.com/office/drawing/2014/main" id="{0DEC4191-210D-42B8-B387-B33AADE7110A}"/>
            </a:ext>
          </a:extLst>
        </xdr:cNvPr>
        <xdr:cNvPicPr>
          <a:picLocks/>
        </xdr:cNvPicPr>
      </xdr:nvPicPr>
      <xdr:blipFill rotWithShape="1">
        <a:blip xmlns:r="http://schemas.openxmlformats.org/officeDocument/2006/relationships" r:embed="rId26" cstate="print">
          <a:alphaModFix amt="95000"/>
          <a:extLst>
            <a:ext uri="{28A0092B-C50C-407E-A947-70E740481C1C}">
              <a14:useLocalDpi xmlns:a14="http://schemas.microsoft.com/office/drawing/2010/main" val="0"/>
            </a:ext>
          </a:extLst>
        </a:blip>
        <a:srcRect l="30762" t="15724" r="31416" b="47776"/>
        <a:stretch/>
      </xdr:blipFill>
      <xdr:spPr>
        <a:xfrm>
          <a:off x="1340039" y="2779059"/>
          <a:ext cx="390340" cy="246530"/>
        </a:xfrm>
        <a:prstGeom prst="rect">
          <a:avLst/>
        </a:prstGeom>
      </xdr:spPr>
    </xdr:pic>
    <xdr:clientData/>
  </xdr:twoCellAnchor>
  <xdr:twoCellAnchor editAs="absolute">
    <xdr:from>
      <xdr:col>2</xdr:col>
      <xdr:colOff>238125</xdr:colOff>
      <xdr:row>2</xdr:row>
      <xdr:rowOff>190500</xdr:rowOff>
    </xdr:from>
    <xdr:to>
      <xdr:col>4</xdr:col>
      <xdr:colOff>127878</xdr:colOff>
      <xdr:row>3</xdr:row>
      <xdr:rowOff>276225</xdr:rowOff>
    </xdr:to>
    <xdr:pic>
      <xdr:nvPicPr>
        <xdr:cNvPr id="215" name="Imagem 214">
          <a:extLst>
            <a:ext uri="{FF2B5EF4-FFF2-40B4-BE49-F238E27FC236}">
              <a16:creationId xmlns:a16="http://schemas.microsoft.com/office/drawing/2014/main" id="{26CD6935-CEAB-49EB-A959-522A87766A7F}"/>
            </a:ext>
          </a:extLst>
        </xdr:cNvPr>
        <xdr:cNvPicPr>
          <a:picLocks/>
        </xdr:cNvPicPr>
      </xdr:nvPicPr>
      <xdr:blipFill rotWithShape="1">
        <a:blip xmlns:r="http://schemas.openxmlformats.org/officeDocument/2006/relationships" r:embed="rId27" cstate="print">
          <a:extLst>
            <a:ext uri="{28A0092B-C50C-407E-A947-70E740481C1C}">
              <a14:useLocalDpi xmlns:a14="http://schemas.microsoft.com/office/drawing/2010/main" val="0"/>
            </a:ext>
          </a:extLst>
        </a:blip>
        <a:srcRect l="31715" t="51238" r="32362" b="13861"/>
        <a:stretch/>
      </xdr:blipFill>
      <xdr:spPr>
        <a:xfrm>
          <a:off x="1038225" y="895350"/>
          <a:ext cx="689853" cy="438150"/>
        </a:xfrm>
        <a:prstGeom prst="rect">
          <a:avLst/>
        </a:prstGeom>
      </xdr:spPr>
    </xdr:pic>
    <xdr:clientData/>
  </xdr:twoCellAnchor>
  <xdr:twoCellAnchor editAs="absolute">
    <xdr:from>
      <xdr:col>8</xdr:col>
      <xdr:colOff>15375</xdr:colOff>
      <xdr:row>10</xdr:row>
      <xdr:rowOff>230330</xdr:rowOff>
    </xdr:from>
    <xdr:to>
      <xdr:col>28</xdr:col>
      <xdr:colOff>81139</xdr:colOff>
      <xdr:row>22</xdr:row>
      <xdr:rowOff>256613</xdr:rowOff>
    </xdr:to>
    <xdr:graphicFrame macro="">
      <xdr:nvGraphicFramePr>
        <xdr:cNvPr id="206" name="GR 001">
          <a:extLst>
            <a:ext uri="{FF2B5EF4-FFF2-40B4-BE49-F238E27FC236}">
              <a16:creationId xmlns:a16="http://schemas.microsoft.com/office/drawing/2014/main" id="{ADAEA8AA-283D-4D26-8AC7-7E7420768C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8</xdr:col>
      <xdr:colOff>110625</xdr:colOff>
      <xdr:row>29</xdr:row>
      <xdr:rowOff>219075</xdr:rowOff>
    </xdr:from>
    <xdr:to>
      <xdr:col>25</xdr:col>
      <xdr:colOff>275267</xdr:colOff>
      <xdr:row>42</xdr:row>
      <xdr:rowOff>16758</xdr:rowOff>
    </xdr:to>
    <xdr:graphicFrame macro="">
      <xdr:nvGraphicFramePr>
        <xdr:cNvPr id="204" name="GR 001 - old" hidden="1">
          <a:extLst>
            <a:ext uri="{FF2B5EF4-FFF2-40B4-BE49-F238E27FC236}">
              <a16:creationId xmlns:a16="http://schemas.microsoft.com/office/drawing/2014/main" id="{5B884744-5F66-47D5-A172-66922ECEA6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editAs="absolute">
    <xdr:from>
      <xdr:col>7</xdr:col>
      <xdr:colOff>198895</xdr:colOff>
      <xdr:row>6</xdr:row>
      <xdr:rowOff>25226</xdr:rowOff>
    </xdr:from>
    <xdr:to>
      <xdr:col>11</xdr:col>
      <xdr:colOff>342900</xdr:colOff>
      <xdr:row>7</xdr:row>
      <xdr:rowOff>76675</xdr:rowOff>
    </xdr:to>
    <xdr:grpSp>
      <xdr:nvGrpSpPr>
        <xdr:cNvPr id="88" name="Agrupar 87">
          <a:extLst>
            <a:ext uri="{FF2B5EF4-FFF2-40B4-BE49-F238E27FC236}">
              <a16:creationId xmlns:a16="http://schemas.microsoft.com/office/drawing/2014/main" id="{2EC1FBAE-7F45-4601-AF74-35696044A4B5}"/>
            </a:ext>
          </a:extLst>
        </xdr:cNvPr>
        <xdr:cNvGrpSpPr>
          <a:grpSpLocks/>
        </xdr:cNvGrpSpPr>
      </xdr:nvGrpSpPr>
      <xdr:grpSpPr>
        <a:xfrm flipH="1">
          <a:off x="2980195" y="2139776"/>
          <a:ext cx="1744205" cy="403874"/>
          <a:chOff x="7544164" y="1777064"/>
          <a:chExt cx="1664686" cy="389218"/>
        </a:xfrm>
      </xdr:grpSpPr>
      <xdr:sp macro="[0]!OpenUserForm_Insert" textlink="">
        <xdr:nvSpPr>
          <xdr:cNvPr id="89" name="Retângulo: Cantos Arredondados 88">
            <a:extLst>
              <a:ext uri="{FF2B5EF4-FFF2-40B4-BE49-F238E27FC236}">
                <a16:creationId xmlns:a16="http://schemas.microsoft.com/office/drawing/2014/main" id="{46AF074C-CA28-4FF6-B5EB-4BB3ABE19F49}"/>
              </a:ext>
            </a:extLst>
          </xdr:cNvPr>
          <xdr:cNvSpPr/>
        </xdr:nvSpPr>
        <xdr:spPr>
          <a:xfrm>
            <a:off x="7544164" y="1777064"/>
            <a:ext cx="1659725" cy="389218"/>
          </a:xfrm>
          <a:prstGeom prst="roundRect">
            <a:avLst>
              <a:gd name="adj" fmla="val 27932"/>
            </a:avLst>
          </a:prstGeom>
          <a:gradFill>
            <a:gsLst>
              <a:gs pos="40000">
                <a:srgbClr val="E5434A"/>
              </a:gs>
              <a:gs pos="0">
                <a:srgbClr val="E33B57"/>
              </a:gs>
              <a:gs pos="100000">
                <a:srgbClr val="F06813"/>
              </a:gs>
            </a:gsLst>
            <a:lin ang="13500000" scaled="1"/>
          </a:gradFill>
          <a:ln>
            <a:noFill/>
          </a:ln>
          <a:effectLst>
            <a:outerShdw blurRad="63500" sx="102000" sy="102000" algn="ctr" rotWithShape="0">
              <a:prstClr val="black">
                <a:alpha val="19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pt-BR" sz="1200">
              <a:solidFill>
                <a:schemeClr val="tx1">
                  <a:lumMod val="75000"/>
                  <a:lumOff val="25000"/>
                </a:schemeClr>
              </a:solidFill>
              <a:latin typeface="SF Pro Display" panose="00000500000000000000" pitchFamily="50" charset="0"/>
              <a:ea typeface="SF Pro Display" panose="00000500000000000000" pitchFamily="50" charset="0"/>
              <a:cs typeface="SF UI  Text" panose="00000500000000000000" pitchFamily="50" charset="0"/>
            </a:endParaRPr>
          </a:p>
        </xdr:txBody>
      </xdr:sp>
      <xdr:sp macro="[0]!OpenUserForm_Insert" textlink="">
        <xdr:nvSpPr>
          <xdr:cNvPr id="92" name="Elipse 91">
            <a:extLst>
              <a:ext uri="{FF2B5EF4-FFF2-40B4-BE49-F238E27FC236}">
                <a16:creationId xmlns:a16="http://schemas.microsoft.com/office/drawing/2014/main" id="{26BC935D-325F-4F93-8D9F-442462587A0E}"/>
              </a:ext>
            </a:extLst>
          </xdr:cNvPr>
          <xdr:cNvSpPr/>
        </xdr:nvSpPr>
        <xdr:spPr>
          <a:xfrm>
            <a:off x="7669179" y="1942399"/>
            <a:ext cx="58547" cy="58547"/>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BR" sz="1200">
              <a:latin typeface="SF Pro Display" panose="00000500000000000000" pitchFamily="50" charset="0"/>
              <a:ea typeface="SF Pro Display" panose="00000500000000000000" pitchFamily="50" charset="0"/>
              <a:cs typeface="SF UI  Text" panose="00000500000000000000" pitchFamily="50" charset="0"/>
            </a:endParaRPr>
          </a:p>
        </xdr:txBody>
      </xdr:sp>
      <xdr:sp macro="[0]!OpenUserForm_Insert" textlink="">
        <xdr:nvSpPr>
          <xdr:cNvPr id="91" name="URL Text">
            <a:extLst>
              <a:ext uri="{FF2B5EF4-FFF2-40B4-BE49-F238E27FC236}">
                <a16:creationId xmlns:a16="http://schemas.microsoft.com/office/drawing/2014/main" id="{E3489C5B-0D6B-468D-9738-D3ABED022264}"/>
              </a:ext>
            </a:extLst>
          </xdr:cNvPr>
          <xdr:cNvSpPr txBox="1"/>
        </xdr:nvSpPr>
        <xdr:spPr>
          <a:xfrm>
            <a:off x="7762486" y="1828799"/>
            <a:ext cx="1446364"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200" b="1" baseline="0">
                <a:solidFill>
                  <a:schemeClr val="bg1"/>
                </a:solidFill>
                <a:latin typeface="SF Pro Display" panose="00000500000000000000" pitchFamily="50" charset="0"/>
                <a:ea typeface="SF Pro Display" panose="00000500000000000000" pitchFamily="50" charset="0"/>
                <a:cs typeface="SF UI  Text" panose="00000500000000000000" pitchFamily="50" charset="0"/>
              </a:rPr>
              <a:t>MOVIMENTAR...</a:t>
            </a:r>
            <a:endParaRPr lang="pt-BR" sz="1200" b="1">
              <a:solidFill>
                <a:schemeClr val="bg1"/>
              </a:solidFill>
              <a:latin typeface="SF Pro Display" panose="00000500000000000000" pitchFamily="50" charset="0"/>
              <a:ea typeface="SF Pro Display" panose="00000500000000000000" pitchFamily="50" charset="0"/>
              <a:cs typeface="SF UI  Text" panose="00000500000000000000" pitchFamily="50" charset="0"/>
            </a:endParaRPr>
          </a:p>
        </xdr:txBody>
      </xdr:sp>
    </xdr:grpSp>
    <xdr:clientData/>
  </xdr:twoCellAnchor>
  <xdr:twoCellAnchor editAs="absolute">
    <xdr:from>
      <xdr:col>12</xdr:col>
      <xdr:colOff>43413</xdr:colOff>
      <xdr:row>6</xdr:row>
      <xdr:rowOff>25226</xdr:rowOff>
    </xdr:from>
    <xdr:to>
      <xdr:col>15</xdr:col>
      <xdr:colOff>5198</xdr:colOff>
      <xdr:row>7</xdr:row>
      <xdr:rowOff>0</xdr:rowOff>
    </xdr:to>
    <xdr:grpSp>
      <xdr:nvGrpSpPr>
        <xdr:cNvPr id="87" name="Agrupar 86">
          <a:extLst>
            <a:ext uri="{FF2B5EF4-FFF2-40B4-BE49-F238E27FC236}">
              <a16:creationId xmlns:a16="http://schemas.microsoft.com/office/drawing/2014/main" id="{6A89CCF8-B495-4AB7-8238-C47724CB17CA}"/>
            </a:ext>
          </a:extLst>
        </xdr:cNvPr>
        <xdr:cNvGrpSpPr>
          <a:grpSpLocks/>
        </xdr:cNvGrpSpPr>
      </xdr:nvGrpSpPr>
      <xdr:grpSpPr>
        <a:xfrm flipH="1">
          <a:off x="4824963" y="2139776"/>
          <a:ext cx="1161935" cy="327199"/>
          <a:chOff x="13092547" y="2025476"/>
          <a:chExt cx="1161182" cy="326987"/>
        </a:xfrm>
      </xdr:grpSpPr>
      <xdr:sp macro="[0]!OpenUserForm_Month" textlink="">
        <xdr:nvSpPr>
          <xdr:cNvPr id="24" name="Retângulo: Cantos Arredondados 23">
            <a:extLst>
              <a:ext uri="{FF2B5EF4-FFF2-40B4-BE49-F238E27FC236}">
                <a16:creationId xmlns:a16="http://schemas.microsoft.com/office/drawing/2014/main" id="{EE600149-CEB8-4273-B312-E031D3D83EAE}"/>
              </a:ext>
            </a:extLst>
          </xdr:cNvPr>
          <xdr:cNvSpPr/>
        </xdr:nvSpPr>
        <xdr:spPr>
          <a:xfrm>
            <a:off x="13101204" y="2027044"/>
            <a:ext cx="1143868" cy="323850"/>
          </a:xfrm>
          <a:prstGeom prst="roundRect">
            <a:avLst>
              <a:gd name="adj" fmla="val 28432"/>
            </a:avLst>
          </a:prstGeom>
          <a:solidFill>
            <a:schemeClr val="bg1"/>
          </a:solidFill>
          <a:ln>
            <a:noFill/>
          </a:ln>
          <a:effectLst>
            <a:outerShdw blurRad="63500" sx="102000" sy="102000" algn="ctr"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pt-BR" sz="1200">
              <a:solidFill>
                <a:schemeClr val="tx1">
                  <a:lumMod val="75000"/>
                  <a:lumOff val="25000"/>
                </a:schemeClr>
              </a:solidFill>
              <a:latin typeface="SF Pro Display" panose="00000500000000000000" pitchFamily="50" charset="0"/>
              <a:ea typeface="SF Pro Display" panose="00000500000000000000" pitchFamily="50" charset="0"/>
              <a:cs typeface="SF UI  Text" panose="00000500000000000000" pitchFamily="50" charset="0"/>
            </a:endParaRPr>
          </a:p>
        </xdr:txBody>
      </xdr:sp>
      <xdr:sp macro="[0]!OpenUserForm_Month" textlink="SELECTED">
        <xdr:nvSpPr>
          <xdr:cNvPr id="167" name="Dashboard - Month">
            <a:extLst>
              <a:ext uri="{FF2B5EF4-FFF2-40B4-BE49-F238E27FC236}">
                <a16:creationId xmlns:a16="http://schemas.microsoft.com/office/drawing/2014/main" id="{8BDBA3EE-A875-4E9D-A9D1-B495E8E64834}"/>
              </a:ext>
            </a:extLst>
          </xdr:cNvPr>
          <xdr:cNvSpPr txBox="1">
            <a:spLocks noChangeAspect="1"/>
          </xdr:cNvSpPr>
        </xdr:nvSpPr>
        <xdr:spPr>
          <a:xfrm>
            <a:off x="13092547" y="2025476"/>
            <a:ext cx="1161182" cy="326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84DCB48F-831E-4F43-BEC7-4237652A04DF}" type="TxLink">
              <a:rPr lang="en-US" sz="1200" b="1" i="0" u="none" strike="noStrike" cap="all" baseline="0">
                <a:gradFill>
                  <a:gsLst>
                    <a:gs pos="40000">
                      <a:srgbClr val="E5434A"/>
                    </a:gs>
                    <a:gs pos="0">
                      <a:srgbClr val="E33B57"/>
                    </a:gs>
                    <a:gs pos="100000">
                      <a:srgbClr val="F06813"/>
                    </a:gs>
                  </a:gsLst>
                  <a:lin ang="13500000" scaled="1"/>
                </a:gradFill>
                <a:latin typeface="SF Pro Display" panose="00000500000000000000" pitchFamily="50" charset="0"/>
                <a:ea typeface="SF Pro Display" panose="00000500000000000000" pitchFamily="50" charset="0"/>
                <a:cs typeface="SF UI  Text" panose="00000500000000000000" pitchFamily="50" charset="0"/>
              </a:rPr>
              <a:pPr marL="0" marR="0" lvl="0" indent="0" algn="l" defTabSz="914400" eaLnBrk="1" fontAlgn="auto" latinLnBrk="0" hangingPunct="1">
                <a:lnSpc>
                  <a:spcPct val="100000"/>
                </a:lnSpc>
                <a:spcBef>
                  <a:spcPts val="0"/>
                </a:spcBef>
                <a:spcAft>
                  <a:spcPts val="0"/>
                </a:spcAft>
                <a:buClrTx/>
                <a:buSzTx/>
                <a:buFontTx/>
                <a:buNone/>
                <a:tabLst/>
                <a:defRPr/>
              </a:pPr>
              <a:t>DEZEMBRO</a:t>
            </a:fld>
            <a:endParaRPr lang="pt-BR" sz="1200" b="1" i="0" u="none" strike="noStrike" cap="all" baseline="0">
              <a:gradFill>
                <a:gsLst>
                  <a:gs pos="40000">
                    <a:srgbClr val="E5434A"/>
                  </a:gs>
                  <a:gs pos="0">
                    <a:srgbClr val="E33B57"/>
                  </a:gs>
                  <a:gs pos="100000">
                    <a:srgbClr val="F06813"/>
                  </a:gs>
                </a:gsLst>
                <a:lin ang="13500000" scaled="1"/>
              </a:gradFill>
              <a:latin typeface="SF Pro Display" panose="00000500000000000000" pitchFamily="50" charset="0"/>
              <a:ea typeface="SF Pro Display" panose="00000500000000000000" pitchFamily="50" charset="0"/>
              <a:cs typeface="SF UI  Text" panose="00000500000000000000" pitchFamily="50" charset="0"/>
            </a:endParaRPr>
          </a:p>
        </xdr:txBody>
      </xdr:sp>
      <xdr:sp macro="[0]!OpenUserForm_Insert" textlink="">
        <xdr:nvSpPr>
          <xdr:cNvPr id="207" name="Elipse 206">
            <a:extLst>
              <a:ext uri="{FF2B5EF4-FFF2-40B4-BE49-F238E27FC236}">
                <a16:creationId xmlns:a16="http://schemas.microsoft.com/office/drawing/2014/main" id="{78745353-5CD1-4B79-8A97-A4CCC9839259}"/>
              </a:ext>
            </a:extLst>
          </xdr:cNvPr>
          <xdr:cNvSpPr/>
        </xdr:nvSpPr>
        <xdr:spPr>
          <a:xfrm>
            <a:off x="13239749" y="2158613"/>
            <a:ext cx="61304" cy="60712"/>
          </a:xfrm>
          <a:prstGeom prst="ellipse">
            <a:avLst/>
          </a:prstGeom>
          <a:gradFill>
            <a:gsLst>
              <a:gs pos="40000">
                <a:srgbClr val="E5434A"/>
              </a:gs>
              <a:gs pos="0">
                <a:srgbClr val="E33B57"/>
              </a:gs>
              <a:gs pos="100000">
                <a:srgbClr val="F06813"/>
              </a:gs>
            </a:gsLst>
            <a:lin ang="135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BR" sz="1200">
              <a:latin typeface="SF Pro Display" panose="00000500000000000000" pitchFamily="50" charset="0"/>
              <a:ea typeface="SF Pro Display" panose="00000500000000000000" pitchFamily="50" charset="0"/>
              <a:cs typeface="SF UI  Text" panose="00000500000000000000" pitchFamily="50" charset="0"/>
            </a:endParaRPr>
          </a:p>
        </xdr:txBody>
      </xdr:sp>
    </xdr:grpSp>
    <xdr:clientData/>
  </xdr:twoCellAnchor>
  <xdr:twoCellAnchor editAs="absolute">
    <xdr:from>
      <xdr:col>34</xdr:col>
      <xdr:colOff>390525</xdr:colOff>
      <xdr:row>7</xdr:row>
      <xdr:rowOff>77768</xdr:rowOff>
    </xdr:from>
    <xdr:to>
      <xdr:col>36</xdr:col>
      <xdr:colOff>0</xdr:colOff>
      <xdr:row>8</xdr:row>
      <xdr:rowOff>49193</xdr:rowOff>
    </xdr:to>
    <xdr:sp macro="[0]!ShowHideValue" textlink="">
      <xdr:nvSpPr>
        <xdr:cNvPr id="217" name="Retângulo: Cantos Arredondados 216">
          <a:extLst>
            <a:ext uri="{FF2B5EF4-FFF2-40B4-BE49-F238E27FC236}">
              <a16:creationId xmlns:a16="http://schemas.microsoft.com/office/drawing/2014/main" id="{7B90F5A4-03E8-4357-85B3-513C16D9682D}"/>
            </a:ext>
          </a:extLst>
        </xdr:cNvPr>
        <xdr:cNvSpPr/>
      </xdr:nvSpPr>
      <xdr:spPr>
        <a:xfrm>
          <a:off x="13973175" y="2544743"/>
          <a:ext cx="581025" cy="323850"/>
        </a:xfrm>
        <a:prstGeom prst="roundRect">
          <a:avLst>
            <a:gd name="adj" fmla="val 28432"/>
          </a:avLst>
        </a:prstGeom>
        <a:solidFill>
          <a:schemeClr val="bg1"/>
        </a:solidFill>
        <a:ln>
          <a:noFill/>
        </a:ln>
        <a:effectLst>
          <a:outerShdw blurRad="63500" sx="102000" sy="102000" algn="ctr"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pt-BR" sz="1150">
            <a:solidFill>
              <a:schemeClr val="tx1">
                <a:lumMod val="75000"/>
                <a:lumOff val="25000"/>
              </a:schemeClr>
            </a:solidFill>
            <a:latin typeface="+mn-lt"/>
            <a:ea typeface="+mn-ea"/>
            <a:cs typeface="+mn-cs"/>
          </a:endParaRPr>
        </a:p>
      </xdr:txBody>
    </xdr:sp>
    <xdr:clientData/>
  </xdr:twoCellAnchor>
  <xdr:twoCellAnchor editAs="absolute">
    <xdr:from>
      <xdr:col>15</xdr:col>
      <xdr:colOff>100563</xdr:colOff>
      <xdr:row>6</xdr:row>
      <xdr:rowOff>25226</xdr:rowOff>
    </xdr:from>
    <xdr:to>
      <xdr:col>18</xdr:col>
      <xdr:colOff>62348</xdr:colOff>
      <xdr:row>7</xdr:row>
      <xdr:rowOff>0</xdr:rowOff>
    </xdr:to>
    <xdr:grpSp>
      <xdr:nvGrpSpPr>
        <xdr:cNvPr id="244" name="Agrupar 243">
          <a:extLst>
            <a:ext uri="{FF2B5EF4-FFF2-40B4-BE49-F238E27FC236}">
              <a16:creationId xmlns:a16="http://schemas.microsoft.com/office/drawing/2014/main" id="{28C29334-9A5D-4DCB-A629-7F967E3195D6}"/>
            </a:ext>
          </a:extLst>
        </xdr:cNvPr>
        <xdr:cNvGrpSpPr>
          <a:grpSpLocks/>
        </xdr:cNvGrpSpPr>
      </xdr:nvGrpSpPr>
      <xdr:grpSpPr>
        <a:xfrm flipH="1">
          <a:off x="6082263" y="2139776"/>
          <a:ext cx="1161935" cy="327199"/>
          <a:chOff x="13092547" y="2025476"/>
          <a:chExt cx="1161182" cy="326987"/>
        </a:xfrm>
      </xdr:grpSpPr>
      <xdr:sp macro="" textlink="">
        <xdr:nvSpPr>
          <xdr:cNvPr id="245" name="Retângulo: Cantos Arredondados 244">
            <a:extLst>
              <a:ext uri="{FF2B5EF4-FFF2-40B4-BE49-F238E27FC236}">
                <a16:creationId xmlns:a16="http://schemas.microsoft.com/office/drawing/2014/main" id="{CA082863-80A3-4FF6-9A81-CAA4E98E21EA}"/>
              </a:ext>
            </a:extLst>
          </xdr:cNvPr>
          <xdr:cNvSpPr/>
        </xdr:nvSpPr>
        <xdr:spPr>
          <a:xfrm>
            <a:off x="13101204" y="2027044"/>
            <a:ext cx="1143868" cy="323850"/>
          </a:xfrm>
          <a:prstGeom prst="roundRect">
            <a:avLst>
              <a:gd name="adj" fmla="val 28432"/>
            </a:avLst>
          </a:prstGeom>
          <a:solidFill>
            <a:schemeClr val="bg1"/>
          </a:solidFill>
          <a:ln>
            <a:noFill/>
          </a:ln>
          <a:effectLst>
            <a:outerShdw blurRad="63500" sx="102000" sy="102000" algn="ctr"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pt-BR" sz="1200">
              <a:solidFill>
                <a:schemeClr val="tx1">
                  <a:lumMod val="75000"/>
                  <a:lumOff val="25000"/>
                </a:schemeClr>
              </a:solidFill>
              <a:latin typeface="SF Pro Display" panose="00000500000000000000" pitchFamily="50" charset="0"/>
              <a:ea typeface="SF Pro Display" panose="00000500000000000000" pitchFamily="50" charset="0"/>
              <a:cs typeface="SF UI  Text" panose="00000500000000000000" pitchFamily="50" charset="0"/>
            </a:endParaRPr>
          </a:p>
        </xdr:txBody>
      </xdr:sp>
      <xdr:sp macro="" textlink="SELECTED">
        <xdr:nvSpPr>
          <xdr:cNvPr id="246" name="Dashboard - Month">
            <a:extLst>
              <a:ext uri="{FF2B5EF4-FFF2-40B4-BE49-F238E27FC236}">
                <a16:creationId xmlns:a16="http://schemas.microsoft.com/office/drawing/2014/main" id="{E5DE74C3-F88D-45EE-A4CB-F47196E6E8CD}"/>
              </a:ext>
            </a:extLst>
          </xdr:cNvPr>
          <xdr:cNvSpPr txBox="1">
            <a:spLocks noChangeAspect="1"/>
          </xdr:cNvSpPr>
        </xdr:nvSpPr>
        <xdr:spPr>
          <a:xfrm>
            <a:off x="13092547" y="2025476"/>
            <a:ext cx="1161182" cy="326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pt-BR" sz="1200" b="1" i="0" u="none" strike="noStrike" cap="all" baseline="0">
                <a:gradFill>
                  <a:gsLst>
                    <a:gs pos="40000">
                      <a:srgbClr val="E5434A"/>
                    </a:gs>
                    <a:gs pos="0">
                      <a:srgbClr val="E33B57"/>
                    </a:gs>
                    <a:gs pos="100000">
                      <a:srgbClr val="F06813"/>
                    </a:gs>
                  </a:gsLst>
                  <a:lin ang="13500000" scaled="1"/>
                </a:gradFill>
                <a:latin typeface="SF Pro Display" panose="00000500000000000000" pitchFamily="50" charset="0"/>
                <a:ea typeface="SF Pro Display" panose="00000500000000000000" pitchFamily="50" charset="0"/>
                <a:cs typeface="SF UI  Text" panose="00000500000000000000" pitchFamily="50" charset="0"/>
              </a:rPr>
              <a:t>débito</a:t>
            </a:r>
          </a:p>
        </xdr:txBody>
      </xdr:sp>
      <xdr:sp macro="" textlink="">
        <xdr:nvSpPr>
          <xdr:cNvPr id="247" name="Elipse 246">
            <a:extLst>
              <a:ext uri="{FF2B5EF4-FFF2-40B4-BE49-F238E27FC236}">
                <a16:creationId xmlns:a16="http://schemas.microsoft.com/office/drawing/2014/main" id="{8D4DE869-A575-46E8-BF60-770F1C15A7CD}"/>
              </a:ext>
            </a:extLst>
          </xdr:cNvPr>
          <xdr:cNvSpPr/>
        </xdr:nvSpPr>
        <xdr:spPr>
          <a:xfrm>
            <a:off x="13239749" y="2158613"/>
            <a:ext cx="61304" cy="60712"/>
          </a:xfrm>
          <a:prstGeom prst="ellipse">
            <a:avLst/>
          </a:prstGeom>
          <a:gradFill>
            <a:gsLst>
              <a:gs pos="40000">
                <a:srgbClr val="E5434A"/>
              </a:gs>
              <a:gs pos="0">
                <a:srgbClr val="E33B57"/>
              </a:gs>
              <a:gs pos="100000">
                <a:srgbClr val="F06813"/>
              </a:gs>
            </a:gsLst>
            <a:lin ang="135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BR" sz="1200">
              <a:latin typeface="SF Pro Display" panose="00000500000000000000" pitchFamily="50" charset="0"/>
              <a:ea typeface="SF Pro Display" panose="00000500000000000000" pitchFamily="50" charset="0"/>
              <a:cs typeface="SF UI  Text" panose="00000500000000000000" pitchFamily="50" charset="0"/>
            </a:endParaRPr>
          </a:p>
        </xdr:txBody>
      </xdr:sp>
    </xdr:grpSp>
    <xdr:clientData/>
  </xdr:twoCellAnchor>
  <xdr:twoCellAnchor editAs="oneCell">
    <xdr:from>
      <xdr:col>35</xdr:col>
      <xdr:colOff>285751</xdr:colOff>
      <xdr:row>7</xdr:row>
      <xdr:rowOff>161925</xdr:rowOff>
    </xdr:from>
    <xdr:to>
      <xdr:col>35</xdr:col>
      <xdr:colOff>482945</xdr:colOff>
      <xdr:row>7</xdr:row>
      <xdr:rowOff>332826</xdr:rowOff>
    </xdr:to>
    <xdr:pic macro="[0]!ShowHideValue">
      <xdr:nvPicPr>
        <xdr:cNvPr id="333" name="Imagem 332">
          <a:extLst>
            <a:ext uri="{FF2B5EF4-FFF2-40B4-BE49-F238E27FC236}">
              <a16:creationId xmlns:a16="http://schemas.microsoft.com/office/drawing/2014/main" id="{A6A6EF10-C330-47D6-85C3-DBA4D3CD76B3}"/>
            </a:ext>
          </a:extLst>
        </xdr:cNvPr>
        <xdr:cNvPicPr>
          <a:picLocks noChangeAspect="1"/>
        </xdr:cNvPicPr>
      </xdr:nvPicPr>
      <xdr:blipFill>
        <a:blip xmlns:r="http://schemas.openxmlformats.org/officeDocument/2006/relationships" r:embed="rId30"/>
        <a:stretch>
          <a:fillRect/>
        </a:stretch>
      </xdr:blipFill>
      <xdr:spPr>
        <a:xfrm>
          <a:off x="14268451" y="2628900"/>
          <a:ext cx="197194" cy="170901"/>
        </a:xfrm>
        <a:prstGeom prst="rect">
          <a:avLst/>
        </a:prstGeom>
      </xdr:spPr>
    </xdr:pic>
    <xdr:clientData/>
  </xdr:twoCellAnchor>
  <xdr:twoCellAnchor editAs="oneCell">
    <xdr:from>
      <xdr:col>35</xdr:col>
      <xdr:colOff>285751</xdr:colOff>
      <xdr:row>7</xdr:row>
      <xdr:rowOff>161925</xdr:rowOff>
    </xdr:from>
    <xdr:to>
      <xdr:col>35</xdr:col>
      <xdr:colOff>482945</xdr:colOff>
      <xdr:row>7</xdr:row>
      <xdr:rowOff>332826</xdr:rowOff>
    </xdr:to>
    <xdr:pic macro="[0]!ShowHideValue">
      <xdr:nvPicPr>
        <xdr:cNvPr id="341" name="SHOW_EYE">
          <a:extLst>
            <a:ext uri="{FF2B5EF4-FFF2-40B4-BE49-F238E27FC236}">
              <a16:creationId xmlns:a16="http://schemas.microsoft.com/office/drawing/2014/main" id="{537B91E8-6CAB-4A12-B26B-FDF00452F143}"/>
            </a:ext>
          </a:extLst>
        </xdr:cNvPr>
        <xdr:cNvPicPr>
          <a:picLocks noChangeAspect="1"/>
        </xdr:cNvPicPr>
      </xdr:nvPicPr>
      <xdr:blipFill>
        <a:blip xmlns:r="http://schemas.openxmlformats.org/officeDocument/2006/relationships" r:embed="rId31"/>
        <a:stretch>
          <a:fillRect/>
        </a:stretch>
      </xdr:blipFill>
      <xdr:spPr>
        <a:xfrm>
          <a:off x="14268451" y="2628900"/>
          <a:ext cx="197194" cy="17090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390525</xdr:colOff>
      <xdr:row>24</xdr:row>
      <xdr:rowOff>142875</xdr:rowOff>
    </xdr:from>
    <xdr:to>
      <xdr:col>7</xdr:col>
      <xdr:colOff>201744</xdr:colOff>
      <xdr:row>29</xdr:row>
      <xdr:rowOff>31696</xdr:rowOff>
    </xdr:to>
    <xdr:pic>
      <xdr:nvPicPr>
        <xdr:cNvPr id="12" name="Imagem 11">
          <a:extLst>
            <a:ext uri="{FF2B5EF4-FFF2-40B4-BE49-F238E27FC236}">
              <a16:creationId xmlns:a16="http://schemas.microsoft.com/office/drawing/2014/main" id="{77E8F38F-03B7-45B5-9342-E2FA1C989D08}"/>
            </a:ext>
          </a:extLst>
        </xdr:cNvPr>
        <xdr:cNvPicPr>
          <a:picLocks noChangeAspect="1"/>
        </xdr:cNvPicPr>
      </xdr:nvPicPr>
      <xdr:blipFill>
        <a:blip xmlns:r="http://schemas.openxmlformats.org/officeDocument/2006/relationships" r:embed="rId1"/>
        <a:stretch>
          <a:fillRect/>
        </a:stretch>
      </xdr:blipFill>
      <xdr:spPr>
        <a:xfrm rot="10800000">
          <a:off x="2219325" y="4714875"/>
          <a:ext cx="2249619" cy="841321"/>
        </a:xfrm>
        <a:prstGeom prst="rect">
          <a:avLst/>
        </a:prstGeom>
      </xdr:spPr>
    </xdr:pic>
    <xdr:clientData/>
  </xdr:twoCellAnchor>
  <xdr:twoCellAnchor>
    <xdr:from>
      <xdr:col>3</xdr:col>
      <xdr:colOff>238125</xdr:colOff>
      <xdr:row>22</xdr:row>
      <xdr:rowOff>47625</xdr:rowOff>
    </xdr:from>
    <xdr:to>
      <xdr:col>7</xdr:col>
      <xdr:colOff>352425</xdr:colOff>
      <xdr:row>35</xdr:row>
      <xdr:rowOff>123825</xdr:rowOff>
    </xdr:to>
    <xdr:sp macro="" textlink="">
      <xdr:nvSpPr>
        <xdr:cNvPr id="3" name="Semicírculo 2">
          <a:extLst>
            <a:ext uri="{FF2B5EF4-FFF2-40B4-BE49-F238E27FC236}">
              <a16:creationId xmlns:a16="http://schemas.microsoft.com/office/drawing/2014/main" id="{F17D57C3-7310-404A-8052-8281783BB620}"/>
            </a:ext>
          </a:extLst>
        </xdr:cNvPr>
        <xdr:cNvSpPr/>
      </xdr:nvSpPr>
      <xdr:spPr>
        <a:xfrm rot="19970101">
          <a:off x="2066925" y="4238625"/>
          <a:ext cx="2552700" cy="2552700"/>
        </a:xfrm>
        <a:prstGeom prst="blockArc">
          <a:avLst>
            <a:gd name="adj1" fmla="val 14201362"/>
            <a:gd name="adj2" fmla="val 21458318"/>
            <a:gd name="adj3" fmla="val 13775"/>
          </a:avLst>
        </a:prstGeom>
        <a:gradFill>
          <a:gsLst>
            <a:gs pos="40000">
              <a:srgbClr val="E5434A"/>
            </a:gs>
            <a:gs pos="0">
              <a:srgbClr val="E33B57"/>
            </a:gs>
            <a:gs pos="100000">
              <a:srgbClr val="F06813"/>
            </a:gs>
          </a:gsLst>
          <a:lin ang="135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10</xdr:col>
      <xdr:colOff>600075</xdr:colOff>
      <xdr:row>2</xdr:row>
      <xdr:rowOff>76200</xdr:rowOff>
    </xdr:from>
    <xdr:to>
      <xdr:col>15</xdr:col>
      <xdr:colOff>390525</xdr:colOff>
      <xdr:row>15</xdr:row>
      <xdr:rowOff>57150</xdr:rowOff>
    </xdr:to>
    <xdr:grpSp>
      <xdr:nvGrpSpPr>
        <xdr:cNvPr id="49" name="Agrupar 48">
          <a:extLst>
            <a:ext uri="{FF2B5EF4-FFF2-40B4-BE49-F238E27FC236}">
              <a16:creationId xmlns:a16="http://schemas.microsoft.com/office/drawing/2014/main" id="{13510CF7-3AF9-4593-B4B0-EF8164CEE6B3}"/>
            </a:ext>
          </a:extLst>
        </xdr:cNvPr>
        <xdr:cNvGrpSpPr/>
      </xdr:nvGrpSpPr>
      <xdr:grpSpPr>
        <a:xfrm>
          <a:off x="6696075" y="457200"/>
          <a:ext cx="2838450" cy="2457450"/>
          <a:chOff x="7419975" y="619125"/>
          <a:chExt cx="2838450" cy="2457450"/>
        </a:xfrm>
      </xdr:grpSpPr>
      <xdr:sp macro="" textlink="">
        <xdr:nvSpPr>
          <xdr:cNvPr id="45" name="Retângulo 44">
            <a:extLst>
              <a:ext uri="{FF2B5EF4-FFF2-40B4-BE49-F238E27FC236}">
                <a16:creationId xmlns:a16="http://schemas.microsoft.com/office/drawing/2014/main" id="{1A8B0C92-B13D-481E-BFC3-4DBB86CC8B45}"/>
              </a:ext>
            </a:extLst>
          </xdr:cNvPr>
          <xdr:cNvSpPr/>
        </xdr:nvSpPr>
        <xdr:spPr>
          <a:xfrm>
            <a:off x="7419975" y="619125"/>
            <a:ext cx="2838450" cy="24574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BR" sz="1100"/>
          </a:p>
        </xdr:txBody>
      </xdr:sp>
      <xdr:pic>
        <xdr:nvPicPr>
          <xdr:cNvPr id="29" name="Imagem 28">
            <a:extLst>
              <a:ext uri="{FF2B5EF4-FFF2-40B4-BE49-F238E27FC236}">
                <a16:creationId xmlns:a16="http://schemas.microsoft.com/office/drawing/2014/main" id="{4AACB1C3-BD5E-4454-A468-D23FBD8F37B1}"/>
              </a:ext>
            </a:extLst>
          </xdr:cNvPr>
          <xdr:cNvPicPr>
            <a:picLocks noChangeAspect="1"/>
          </xdr:cNvPicPr>
        </xdr:nvPicPr>
        <xdr:blipFill>
          <a:blip xmlns:r="http://schemas.openxmlformats.org/officeDocument/2006/relationships" r:embed="rId2"/>
          <a:stretch>
            <a:fillRect/>
          </a:stretch>
        </xdr:blipFill>
        <xdr:spPr>
          <a:xfrm flipV="1">
            <a:off x="7726584" y="1657350"/>
            <a:ext cx="2225233" cy="829128"/>
          </a:xfrm>
          <a:prstGeom prst="rect">
            <a:avLst/>
          </a:prstGeom>
          <a:noFill/>
        </xdr:spPr>
      </xdr:pic>
    </xdr:grpSp>
    <xdr:clientData/>
  </xdr:twoCellAnchor>
  <xdr:twoCellAnchor>
    <xdr:from>
      <xdr:col>6</xdr:col>
      <xdr:colOff>123825</xdr:colOff>
      <xdr:row>2</xdr:row>
      <xdr:rowOff>66675</xdr:rowOff>
    </xdr:from>
    <xdr:to>
      <xdr:col>10</xdr:col>
      <xdr:colOff>523875</xdr:colOff>
      <xdr:row>15</xdr:row>
      <xdr:rowOff>47625</xdr:rowOff>
    </xdr:to>
    <xdr:grpSp>
      <xdr:nvGrpSpPr>
        <xdr:cNvPr id="50" name="Agrupar 49">
          <a:extLst>
            <a:ext uri="{FF2B5EF4-FFF2-40B4-BE49-F238E27FC236}">
              <a16:creationId xmlns:a16="http://schemas.microsoft.com/office/drawing/2014/main" id="{4C3C782A-FD4E-4538-B065-BDAF1AF5F553}"/>
            </a:ext>
          </a:extLst>
        </xdr:cNvPr>
        <xdr:cNvGrpSpPr/>
      </xdr:nvGrpSpPr>
      <xdr:grpSpPr>
        <a:xfrm>
          <a:off x="3781425" y="447675"/>
          <a:ext cx="2838450" cy="2457450"/>
          <a:chOff x="4143375" y="447675"/>
          <a:chExt cx="2838450" cy="2457450"/>
        </a:xfrm>
      </xdr:grpSpPr>
      <xdr:sp macro="" textlink="">
        <xdr:nvSpPr>
          <xdr:cNvPr id="44" name="Retângulo 43">
            <a:extLst>
              <a:ext uri="{FF2B5EF4-FFF2-40B4-BE49-F238E27FC236}">
                <a16:creationId xmlns:a16="http://schemas.microsoft.com/office/drawing/2014/main" id="{103515D8-6E2A-4E60-AEA9-FA1B9494785C}"/>
              </a:ext>
            </a:extLst>
          </xdr:cNvPr>
          <xdr:cNvSpPr/>
        </xdr:nvSpPr>
        <xdr:spPr>
          <a:xfrm>
            <a:off x="4143375" y="447675"/>
            <a:ext cx="2838450" cy="24574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BR" sz="1100"/>
          </a:p>
        </xdr:txBody>
      </xdr:sp>
      <xdr:grpSp>
        <xdr:nvGrpSpPr>
          <xdr:cNvPr id="43" name="Agrupar 42">
            <a:extLst>
              <a:ext uri="{FF2B5EF4-FFF2-40B4-BE49-F238E27FC236}">
                <a16:creationId xmlns:a16="http://schemas.microsoft.com/office/drawing/2014/main" id="{7908AF2E-182E-4BB7-AB5E-54EEDF9CB68B}"/>
              </a:ext>
            </a:extLst>
          </xdr:cNvPr>
          <xdr:cNvGrpSpPr/>
        </xdr:nvGrpSpPr>
        <xdr:grpSpPr>
          <a:xfrm>
            <a:off x="4437791" y="1017615"/>
            <a:ext cx="2249619" cy="1317571"/>
            <a:chOff x="4867275" y="981075"/>
            <a:chExt cx="2249619" cy="1317571"/>
          </a:xfrm>
        </xdr:grpSpPr>
        <xdr:grpSp>
          <xdr:nvGrpSpPr>
            <xdr:cNvPr id="16" name="Agrupar 15">
              <a:extLst>
                <a:ext uri="{FF2B5EF4-FFF2-40B4-BE49-F238E27FC236}">
                  <a16:creationId xmlns:a16="http://schemas.microsoft.com/office/drawing/2014/main" id="{AD83F285-DD81-428C-B6FD-F32EE7EDA08B}"/>
                </a:ext>
              </a:extLst>
            </xdr:cNvPr>
            <xdr:cNvGrpSpPr/>
          </xdr:nvGrpSpPr>
          <xdr:grpSpPr>
            <a:xfrm>
              <a:off x="4867275" y="1123950"/>
              <a:ext cx="2249619" cy="1174696"/>
              <a:chOff x="4867275" y="1123950"/>
              <a:chExt cx="2249619" cy="1174696"/>
            </a:xfrm>
          </xdr:grpSpPr>
          <xdr:sp macro="" textlink="">
            <xdr:nvSpPr>
              <xdr:cNvPr id="15" name="Elipse 14">
                <a:extLst>
                  <a:ext uri="{FF2B5EF4-FFF2-40B4-BE49-F238E27FC236}">
                    <a16:creationId xmlns:a16="http://schemas.microsoft.com/office/drawing/2014/main" id="{FEE536C0-C4FE-4805-BE56-FE21487650AC}"/>
                  </a:ext>
                </a:extLst>
              </xdr:cNvPr>
              <xdr:cNvSpPr/>
            </xdr:nvSpPr>
            <xdr:spPr>
              <a:xfrm>
                <a:off x="5630134" y="1123950"/>
                <a:ext cx="723900" cy="723900"/>
              </a:xfrm>
              <a:prstGeom prst="ellipse">
                <a:avLst/>
              </a:prstGeom>
              <a:gradFill flip="none" rotWithShape="1">
                <a:gsLst>
                  <a:gs pos="40000">
                    <a:srgbClr val="E5434A"/>
                  </a:gs>
                  <a:gs pos="0">
                    <a:srgbClr val="E33B57"/>
                  </a:gs>
                  <a:gs pos="100000">
                    <a:srgbClr val="F06813"/>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13" name="Imagem 12">
                <a:extLst>
                  <a:ext uri="{FF2B5EF4-FFF2-40B4-BE49-F238E27FC236}">
                    <a16:creationId xmlns:a16="http://schemas.microsoft.com/office/drawing/2014/main" id="{BE21171E-02A8-480C-BBE0-71C89E4E841F}"/>
                  </a:ext>
                </a:extLst>
              </xdr:cNvPr>
              <xdr:cNvPicPr>
                <a:picLocks noChangeAspect="1"/>
              </xdr:cNvPicPr>
            </xdr:nvPicPr>
            <xdr:blipFill>
              <a:blip xmlns:r="http://schemas.openxmlformats.org/officeDocument/2006/relationships" r:embed="rId1"/>
              <a:stretch>
                <a:fillRect/>
              </a:stretch>
            </xdr:blipFill>
            <xdr:spPr>
              <a:xfrm rot="10800000" flipH="1">
                <a:off x="4867275" y="1457325"/>
                <a:ext cx="2249619" cy="841321"/>
              </a:xfrm>
              <a:prstGeom prst="rect">
                <a:avLst/>
              </a:prstGeom>
            </xdr:spPr>
          </xdr:pic>
        </xdr:grpSp>
        <xdr:pic>
          <xdr:nvPicPr>
            <xdr:cNvPr id="42" name="Imagem 41">
              <a:extLst>
                <a:ext uri="{FF2B5EF4-FFF2-40B4-BE49-F238E27FC236}">
                  <a16:creationId xmlns:a16="http://schemas.microsoft.com/office/drawing/2014/main" id="{65A12521-CB44-4AAC-8FE5-C3A257919535}"/>
                </a:ext>
              </a:extLst>
            </xdr:cNvPr>
            <xdr:cNvPicPr>
              <a:picLocks noChangeAspect="1"/>
            </xdr:cNvPicPr>
          </xdr:nvPicPr>
          <xdr:blipFill>
            <a:blip xmlns:r="http://schemas.openxmlformats.org/officeDocument/2006/relationships" r:embed="rId2"/>
            <a:stretch>
              <a:fillRect/>
            </a:stretch>
          </xdr:blipFill>
          <xdr:spPr>
            <a:xfrm>
              <a:off x="4886325" y="981075"/>
              <a:ext cx="2200275" cy="829128"/>
            </a:xfrm>
            <a:prstGeom prst="rect">
              <a:avLst/>
            </a:prstGeom>
          </xdr:spPr>
        </xdr:pic>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6C9CE4-D9C7-450A-82A5-ED5A7C68B74C}" name="Tabela2" displayName="Tabela2" ref="A2:A14" totalsRowShown="0" headerRowDxfId="5">
  <autoFilter ref="A2:A14" xr:uid="{476C9CE4-D9C7-450A-82A5-ED5A7C68B74C}"/>
  <tableColumns count="1">
    <tableColumn id="1" xr3:uid="{D3BAF658-918A-40F0-980A-2AC6139FEC91}" name="ANO"/>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C71938-A198-4E24-B088-912461027615}" name="Tabela3" displayName="Tabela3" ref="C2:C14" totalsRowShown="0" headerRowDxfId="4">
  <autoFilter ref="C2:C14" xr:uid="{8CC71938-A198-4E24-B088-912461027615}"/>
  <tableColumns count="1">
    <tableColumn id="1" xr3:uid="{AC215175-2E8F-49B4-940A-77233F88FBD3}" name="MÊ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9838E5B-9D79-4C07-B4B1-FAE63F0BBB6F}" name="Tabela4" displayName="Tabela4" ref="E2:E33" totalsRowShown="0" headerRowDxfId="3">
  <autoFilter ref="E2:E33" xr:uid="{99838E5B-9D79-4C07-B4B1-FAE63F0BBB6F}"/>
  <tableColumns count="1">
    <tableColumn id="1" xr3:uid="{B990D740-0A18-42E8-9CAD-A53D7C881B05}" name="DIA"/>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DA02692-F436-46CD-9D5D-4265D0A511A0}" name="Tabela5" displayName="Tabela5" ref="G2:H22" totalsRowShown="0" headerRowDxfId="2">
  <autoFilter ref="G2:H22" xr:uid="{4DA02692-F436-46CD-9D5D-4265D0A511A0}"/>
  <tableColumns count="2">
    <tableColumn id="1" xr3:uid="{47D0A9FF-C3B6-4406-9F73-A66540F9F77E}" name="TIPO"/>
    <tableColumn id="2" xr3:uid="{C565CD8C-78DC-440F-8AD5-726A9AAB1736}" name="DESCRIÇÃO"/>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5" Type="http://schemas.openxmlformats.org/officeDocument/2006/relationships/table" Target="../tables/table4.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C3827-3061-4BA2-999E-8DCA0386EFE2}">
  <sheetPr codeName="Planilha1"/>
  <dimension ref="A1:AT1435"/>
  <sheetViews>
    <sheetView showGridLines="0" workbookViewId="0">
      <selection activeCell="X7" sqref="X7"/>
    </sheetView>
  </sheetViews>
  <sheetFormatPr defaultColWidth="13.7109375" defaultRowHeight="15" outlineLevelCol="1" x14ac:dyDescent="0.25"/>
  <cols>
    <col min="1" max="1" width="12.42578125" customWidth="1" outlineLevel="1"/>
    <col min="2" max="4" width="8.7109375" customWidth="1" outlineLevel="1"/>
    <col min="5" max="6" width="13.7109375" customWidth="1" outlineLevel="1"/>
    <col min="7" max="7" width="15.85546875" customWidth="1" outlineLevel="1"/>
    <col min="8" max="8" width="6.85546875" customWidth="1" outlineLevel="1"/>
    <col min="9" max="9" width="13.7109375" customWidth="1" outlineLevel="1"/>
    <col min="10" max="10" width="18.7109375" customWidth="1" outlineLevel="1"/>
    <col min="11" max="11" width="29.42578125" customWidth="1" outlineLevel="1"/>
    <col min="12" max="13" width="13.85546875" customWidth="1" outlineLevel="1"/>
    <col min="14" max="14" width="4.7109375" customWidth="1"/>
    <col min="15" max="15" width="16.5703125" customWidth="1"/>
    <col min="16" max="16" width="4.7109375" customWidth="1"/>
    <col min="17" max="17" width="10.7109375" hidden="1" customWidth="1"/>
    <col min="18" max="18" width="7.140625" hidden="1" customWidth="1" outlineLevel="1"/>
    <col min="19" max="19" width="11.42578125" style="66" hidden="1" customWidth="1" outlineLevel="1"/>
    <col min="20" max="20" width="12.5703125" hidden="1" customWidth="1" outlineLevel="1"/>
    <col min="21" max="21" width="15.85546875" hidden="1" customWidth="1" outlineLevel="1"/>
    <col min="22" max="22" width="11.85546875" hidden="1" customWidth="1" outlineLevel="1"/>
    <col min="23" max="23" width="13.5703125" hidden="1" customWidth="1" outlineLevel="1"/>
    <col min="24" max="24" width="9.42578125" hidden="1" customWidth="1" outlineLevel="1"/>
    <col min="25" max="25" width="7.85546875" hidden="1" customWidth="1" outlineLevel="1"/>
    <col min="26" max="26" width="4.7109375" customWidth="1" collapsed="1"/>
    <col min="31" max="31" width="13.7109375" style="57"/>
    <col min="32" max="32" width="26.7109375" style="93" bestFit="1" customWidth="1"/>
    <col min="34" max="34" width="4.85546875" customWidth="1"/>
    <col min="36" max="36" width="4.7109375" customWidth="1"/>
    <col min="38" max="38" width="13.7109375" style="75"/>
    <col min="41" max="42" width="13.7109375" style="85"/>
    <col min="43" max="43" width="10.5703125" style="85" customWidth="1"/>
    <col min="44" max="44" width="16.140625" style="85" bestFit="1" customWidth="1"/>
    <col min="45" max="45" width="4.85546875" customWidth="1"/>
  </cols>
  <sheetData>
    <row r="1" spans="1:46" s="77" customFormat="1" ht="52.5" customHeight="1" x14ac:dyDescent="0.25">
      <c r="A1" s="105" t="s">
        <v>63</v>
      </c>
      <c r="B1" s="105"/>
      <c r="C1" s="105"/>
      <c r="D1" s="105"/>
      <c r="E1" s="105"/>
      <c r="F1" s="105"/>
      <c r="G1" s="105"/>
      <c r="H1" s="105"/>
      <c r="I1" s="105"/>
      <c r="J1" s="105"/>
      <c r="K1" s="105"/>
      <c r="L1" s="105"/>
      <c r="M1" s="105"/>
      <c r="N1" s="105"/>
      <c r="O1" s="105"/>
      <c r="P1" s="84"/>
      <c r="Q1" s="106" t="s">
        <v>0</v>
      </c>
      <c r="R1" s="106"/>
      <c r="S1" s="106"/>
      <c r="T1" s="106"/>
      <c r="U1" s="106"/>
      <c r="V1" s="106"/>
      <c r="W1" s="106"/>
      <c r="X1" s="106"/>
      <c r="Y1" s="106"/>
      <c r="Z1" s="84"/>
      <c r="AA1" s="104" t="s">
        <v>86</v>
      </c>
      <c r="AB1" s="104"/>
      <c r="AC1" s="104"/>
      <c r="AD1" s="104"/>
      <c r="AE1" s="104"/>
      <c r="AF1" s="104"/>
      <c r="AG1" s="104"/>
      <c r="AH1" s="104"/>
      <c r="AI1" s="104"/>
      <c r="AJ1" s="84"/>
      <c r="AK1" s="105" t="s">
        <v>23</v>
      </c>
      <c r="AL1" s="105"/>
      <c r="AM1" s="105"/>
      <c r="AN1" s="105"/>
      <c r="AO1" s="105"/>
      <c r="AP1" s="105"/>
      <c r="AQ1" s="105"/>
      <c r="AR1" s="105"/>
      <c r="AS1" s="105"/>
      <c r="AT1" s="105"/>
    </row>
    <row r="2" spans="1:46" s="77" customFormat="1" ht="52.5" customHeight="1" x14ac:dyDescent="0.25">
      <c r="A2" s="105"/>
      <c r="B2" s="105"/>
      <c r="C2" s="105"/>
      <c r="D2" s="105"/>
      <c r="E2" s="105"/>
      <c r="F2" s="105"/>
      <c r="G2" s="105"/>
      <c r="H2" s="105"/>
      <c r="I2" s="105"/>
      <c r="J2" s="105"/>
      <c r="K2" s="105"/>
      <c r="L2" s="105"/>
      <c r="M2" s="105"/>
      <c r="N2" s="105"/>
      <c r="O2" s="105"/>
      <c r="P2" s="84"/>
      <c r="Q2" s="106"/>
      <c r="R2" s="106"/>
      <c r="S2" s="106"/>
      <c r="T2" s="106"/>
      <c r="U2" s="106"/>
      <c r="V2" s="106"/>
      <c r="W2" s="106"/>
      <c r="X2" s="106"/>
      <c r="Y2" s="106"/>
      <c r="Z2" s="84"/>
      <c r="AA2" s="104"/>
      <c r="AB2" s="104"/>
      <c r="AC2" s="104"/>
      <c r="AD2" s="104"/>
      <c r="AE2" s="104"/>
      <c r="AF2" s="104"/>
      <c r="AG2" s="104"/>
      <c r="AH2" s="104"/>
      <c r="AI2" s="104"/>
      <c r="AJ2" s="84"/>
      <c r="AK2" s="105"/>
      <c r="AL2" s="105"/>
      <c r="AM2" s="105"/>
      <c r="AN2" s="105"/>
      <c r="AO2" s="105"/>
      <c r="AP2" s="105"/>
      <c r="AQ2" s="105"/>
      <c r="AR2" s="105"/>
      <c r="AS2" s="105"/>
      <c r="AT2" s="105"/>
    </row>
    <row r="3" spans="1:46" s="2" customFormat="1" ht="6.75" customHeight="1" x14ac:dyDescent="0.25">
      <c r="A3" s="11"/>
      <c r="B3" s="7"/>
      <c r="D3" s="7"/>
      <c r="E3" s="24"/>
      <c r="F3" s="24"/>
      <c r="G3" s="24"/>
      <c r="H3" s="13"/>
      <c r="I3" s="20"/>
      <c r="J3" s="20"/>
      <c r="K3" s="20"/>
      <c r="L3" s="20"/>
      <c r="M3" s="20"/>
      <c r="S3" s="62"/>
      <c r="AE3" s="54"/>
      <c r="AF3" s="88"/>
      <c r="AL3" s="70"/>
      <c r="AO3" s="7"/>
      <c r="AP3" s="7"/>
      <c r="AQ3" s="7"/>
      <c r="AR3" s="7"/>
    </row>
    <row r="4" spans="1:46" s="3" customFormat="1" ht="10.5" customHeight="1" x14ac:dyDescent="0.25">
      <c r="A4" s="8"/>
      <c r="B4" s="10"/>
      <c r="D4" s="10"/>
      <c r="E4" s="25"/>
      <c r="F4" s="25"/>
      <c r="G4" s="25"/>
      <c r="H4" s="14"/>
      <c r="I4" s="21"/>
      <c r="J4" s="21"/>
      <c r="K4" s="21"/>
      <c r="L4" s="21"/>
      <c r="M4" s="21"/>
      <c r="S4" s="63"/>
      <c r="AE4" s="55"/>
      <c r="AF4" s="89"/>
      <c r="AL4" s="71"/>
      <c r="AO4" s="10"/>
      <c r="AP4" s="10"/>
      <c r="AQ4" s="10"/>
      <c r="AR4" s="10"/>
    </row>
    <row r="5" spans="1:46" s="1" customFormat="1" ht="6.75" customHeight="1" thickBot="1" x14ac:dyDescent="0.3">
      <c r="A5" s="11"/>
      <c r="B5" s="9"/>
      <c r="D5" s="9"/>
      <c r="E5" s="26"/>
      <c r="F5" s="26"/>
      <c r="G5" s="26"/>
      <c r="H5" s="15"/>
      <c r="I5" s="22"/>
      <c r="J5" s="22"/>
      <c r="K5" s="22"/>
      <c r="L5" s="22"/>
      <c r="M5" s="22"/>
      <c r="S5" s="64"/>
      <c r="AE5" s="56"/>
      <c r="AF5" s="90"/>
      <c r="AL5" s="72"/>
      <c r="AO5" s="9"/>
      <c r="AP5" s="9"/>
      <c r="AQ5" s="9"/>
      <c r="AR5" s="9"/>
    </row>
    <row r="6" spans="1:46" s="34" customFormat="1" ht="24" customHeight="1" thickBot="1" x14ac:dyDescent="0.3">
      <c r="A6" s="99" t="s">
        <v>30</v>
      </c>
      <c r="B6" s="99" t="s">
        <v>2</v>
      </c>
      <c r="C6" s="99" t="s">
        <v>0</v>
      </c>
      <c r="D6" s="99" t="s">
        <v>1</v>
      </c>
      <c r="E6" s="99" t="s">
        <v>28</v>
      </c>
      <c r="F6" s="99" t="s">
        <v>66</v>
      </c>
      <c r="G6" s="99" t="s">
        <v>3</v>
      </c>
      <c r="H6" s="99" t="s">
        <v>26</v>
      </c>
      <c r="I6" s="99" t="s">
        <v>25</v>
      </c>
      <c r="J6" s="99" t="s">
        <v>43</v>
      </c>
      <c r="K6" s="99" t="s">
        <v>41</v>
      </c>
      <c r="L6" s="99" t="s">
        <v>42</v>
      </c>
      <c r="M6" s="99" t="s">
        <v>67</v>
      </c>
      <c r="N6" s="99"/>
      <c r="O6" s="99" t="s">
        <v>42</v>
      </c>
      <c r="Q6" s="34" t="s">
        <v>1</v>
      </c>
      <c r="R6" s="101" t="s">
        <v>1</v>
      </c>
      <c r="S6" s="101" t="s">
        <v>28</v>
      </c>
      <c r="T6" s="101" t="s">
        <v>27</v>
      </c>
      <c r="U6" s="101" t="s">
        <v>3</v>
      </c>
      <c r="V6" s="101" t="s">
        <v>26</v>
      </c>
      <c r="W6" s="101" t="s">
        <v>42</v>
      </c>
      <c r="X6" s="101" t="s">
        <v>46</v>
      </c>
      <c r="Y6" s="101" t="s">
        <v>48</v>
      </c>
      <c r="AA6" s="97" t="s">
        <v>28</v>
      </c>
      <c r="AB6" s="97" t="s">
        <v>27</v>
      </c>
      <c r="AC6" s="97" t="s">
        <v>3</v>
      </c>
      <c r="AD6" s="97" t="s">
        <v>25</v>
      </c>
      <c r="AE6" s="97" t="s">
        <v>43</v>
      </c>
      <c r="AF6" s="98" t="s">
        <v>41</v>
      </c>
      <c r="AG6" s="97" t="s">
        <v>42</v>
      </c>
      <c r="AH6" s="97"/>
      <c r="AI6" s="97" t="s">
        <v>42</v>
      </c>
      <c r="AK6" s="99" t="s">
        <v>3</v>
      </c>
      <c r="AL6" s="99" t="s">
        <v>62</v>
      </c>
      <c r="AM6" s="99" t="s">
        <v>61</v>
      </c>
      <c r="AN6" s="99" t="s">
        <v>23</v>
      </c>
      <c r="AO6" s="100" t="s">
        <v>89</v>
      </c>
      <c r="AP6" s="100" t="s">
        <v>88</v>
      </c>
      <c r="AQ6" s="100" t="s">
        <v>90</v>
      </c>
      <c r="AR6" s="99" t="s">
        <v>91</v>
      </c>
      <c r="AS6" s="99"/>
      <c r="AT6" s="99" t="s">
        <v>42</v>
      </c>
    </row>
    <row r="7" spans="1:46" x14ac:dyDescent="0.25">
      <c r="A7" s="12">
        <f t="shared" ref="A7:A51" si="0">IFERROR(DATE(B7,C7,D7),"")</f>
        <v>45260</v>
      </c>
      <c r="B7" s="16">
        <v>2023</v>
      </c>
      <c r="C7" s="17">
        <v>11</v>
      </c>
      <c r="D7" s="18">
        <v>30</v>
      </c>
      <c r="E7" s="29" t="s">
        <v>29</v>
      </c>
      <c r="F7" s="39" t="s">
        <v>4</v>
      </c>
      <c r="G7" s="40" t="s">
        <v>24</v>
      </c>
      <c r="H7" s="41">
        <v>1</v>
      </c>
      <c r="I7" s="42">
        <v>300</v>
      </c>
      <c r="J7" s="82">
        <f t="shared" ref="J7:J51" si="1">IF(E7="entrada",H7*I7,H7*I7*-1)</f>
        <v>300</v>
      </c>
      <c r="K7" s="43"/>
      <c r="L7" s="83">
        <f>IF(J7=0,"",SUM(0,J7))</f>
        <v>300</v>
      </c>
      <c r="M7" s="53" t="s">
        <v>53</v>
      </c>
      <c r="N7" s="5"/>
      <c r="O7" s="103" cm="1">
        <f t="array" ref="O7">IF(SHOW=FALSE,INDEX($A$7:$L$161,COUNT(L:L),12),0)</f>
        <v>2301.69</v>
      </c>
      <c r="P7" s="5"/>
      <c r="Q7" s="12" cm="1">
        <f t="array" ref="Q7:Q35">_xlfn._xlws.FILTER(A7:A99998,(A7:A99998&lt;&gt;"")*(C7:C99998=$O$16)*(B7:B99998=$O$17))</f>
        <v>45264</v>
      </c>
      <c r="R7" s="36" cm="1">
        <f t="array" ref="R7:U35">_xlfn._xlws.FILTER(D7:G99998,(A7:A99998&lt;&gt;"")*(C7:C99998=$O$16)*(B7:B99998=$O$17))</f>
        <v>4</v>
      </c>
      <c r="S7" s="65" t="str">
        <v>ENTRADA</v>
      </c>
      <c r="T7" s="48" t="str">
        <v>MERCADO</v>
      </c>
      <c r="U7" s="49" t="str">
        <v>RANCHO</v>
      </c>
      <c r="V7" s="46" cm="1">
        <f t="array" ref="V7:V35">_xlfn._xlws.FILTER(J7:J99998,(A7:A99998&lt;&gt;"")*(C7:C99998=O16)*(B7:B99998=O17))</f>
        <v>130</v>
      </c>
      <c r="W7" s="46" cm="1">
        <f t="array" ref="W7:W35">_xlfn._xlws.FILTER(L7:L99998,(A7:A99998&lt;&gt;"")*(C7:C99998=O16)*(B7:B99998=O17))</f>
        <v>630</v>
      </c>
      <c r="X7" s="46">
        <f>IF(V7&gt;0,V7,0)</f>
        <v>130</v>
      </c>
      <c r="Y7" s="46">
        <f>IF(V7&lt;0,V7,0)*-1</f>
        <v>0</v>
      </c>
      <c r="Z7" s="5"/>
      <c r="AA7" s="58" t="s">
        <v>31</v>
      </c>
      <c r="AB7" s="39" t="s">
        <v>18</v>
      </c>
      <c r="AC7" s="40" t="s">
        <v>16</v>
      </c>
      <c r="AD7" s="53">
        <f t="shared" ref="AD7:AD8" si="2">VLOOKUP(AC7,AK5:AR128,8,0)</f>
        <v>100</v>
      </c>
      <c r="AE7" s="59">
        <f t="shared" ref="AE7:AE12" si="3">IF(AA7="entrada",AD7,AD7*-1)</f>
        <v>-100</v>
      </c>
      <c r="AF7" s="91"/>
      <c r="AG7" s="53">
        <f>IF(AE7=0,0,SUM(0,AE7))</f>
        <v>-100</v>
      </c>
      <c r="AI7" s="23" cm="1">
        <f t="array" ref="AI7">INDEX($AA$7:$AG$161,COUNT(AD:AD),7)</f>
        <v>2600</v>
      </c>
      <c r="AJ7" s="5"/>
      <c r="AK7" s="68" t="s">
        <v>16</v>
      </c>
      <c r="AL7" s="74">
        <v>0</v>
      </c>
      <c r="AM7" s="69">
        <v>100</v>
      </c>
      <c r="AN7" s="69">
        <f>IFERROR(AM7/AL7,AM7)</f>
        <v>100</v>
      </c>
      <c r="AO7" s="86" t="s">
        <v>87</v>
      </c>
      <c r="AP7" s="69" t="str">
        <f>IFERROR(AM7-AN7*AO7,"-")</f>
        <v>-</v>
      </c>
      <c r="AQ7" s="86" t="str">
        <f>IFERROR(AL7-AO7,"-")</f>
        <v>-</v>
      </c>
      <c r="AR7" s="69">
        <f t="shared" ref="AR7:AR8" si="4">IF(AL7=0,AN7,IFERROR(AP7/AQ7,0))</f>
        <v>100</v>
      </c>
      <c r="AT7" s="23" cm="1">
        <f t="array" ref="AT7">INDEX($AK$7:$AN$161,COUNT(AN:AN),4)*-1</f>
        <v>0</v>
      </c>
    </row>
    <row r="8" spans="1:46" x14ac:dyDescent="0.25">
      <c r="A8" s="12">
        <f t="shared" si="0"/>
        <v>45260</v>
      </c>
      <c r="B8" s="16">
        <v>2023</v>
      </c>
      <c r="C8" s="17">
        <v>11</v>
      </c>
      <c r="D8" s="18">
        <v>30</v>
      </c>
      <c r="E8" s="29" t="s">
        <v>29</v>
      </c>
      <c r="F8" s="27" t="s">
        <v>4</v>
      </c>
      <c r="G8" s="28" t="s">
        <v>24</v>
      </c>
      <c r="H8" s="19">
        <v>1</v>
      </c>
      <c r="I8" s="23">
        <v>200</v>
      </c>
      <c r="J8" s="82">
        <f t="shared" si="1"/>
        <v>200</v>
      </c>
      <c r="K8" s="30"/>
      <c r="L8" s="83">
        <f t="shared" ref="L8:L51" si="5">IF(J8=0,"",SUM(L7,J8))</f>
        <v>500</v>
      </c>
      <c r="M8" s="23" t="s">
        <v>53</v>
      </c>
      <c r="N8" s="5"/>
      <c r="O8" s="61" t="s">
        <v>59</v>
      </c>
      <c r="P8" s="5"/>
      <c r="Q8" s="12">
        <v>45262</v>
      </c>
      <c r="R8" s="36">
        <v>2</v>
      </c>
      <c r="S8" s="65" t="str">
        <v>SAÍDA</v>
      </c>
      <c r="T8" s="37" t="str">
        <v>LAZER</v>
      </c>
      <c r="U8" s="38" t="str">
        <v>COMIDA/BEBIDA</v>
      </c>
      <c r="V8" s="31">
        <v>-200</v>
      </c>
      <c r="W8" s="31">
        <v>430</v>
      </c>
      <c r="X8" s="46">
        <f t="shared" ref="X8:X71" si="6">IF(V8&gt;0,V8,0)</f>
        <v>0</v>
      </c>
      <c r="Y8" s="46">
        <f t="shared" ref="Y8:Y71" si="7">IF(V8&lt;0,V8,0)*-1</f>
        <v>200</v>
      </c>
      <c r="Z8" s="5"/>
      <c r="AA8" s="29" t="s">
        <v>31</v>
      </c>
      <c r="AB8" s="27" t="s">
        <v>18</v>
      </c>
      <c r="AC8" s="28" t="s">
        <v>60</v>
      </c>
      <c r="AD8" s="23">
        <f t="shared" si="2"/>
        <v>80</v>
      </c>
      <c r="AE8" s="60">
        <f t="shared" si="3"/>
        <v>-80</v>
      </c>
      <c r="AF8" s="92"/>
      <c r="AG8" s="23">
        <f t="shared" ref="AG8" si="8">IF(AE8=0,"",SUM(AG7,AE8))</f>
        <v>-180</v>
      </c>
      <c r="AJ8" s="5"/>
      <c r="AK8" s="67" t="s">
        <v>60</v>
      </c>
      <c r="AL8" s="73">
        <v>0</v>
      </c>
      <c r="AM8" s="53">
        <v>80</v>
      </c>
      <c r="AN8" s="53">
        <f t="shared" ref="AN8:AN11" si="9">IFERROR(AM8/AL8,AM8)</f>
        <v>80</v>
      </c>
      <c r="AO8" s="87" t="s">
        <v>87</v>
      </c>
      <c r="AP8" s="53" t="str">
        <f t="shared" ref="AP8:AP71" si="10">IFERROR(AM8-AN8*AO8,"-")</f>
        <v>-</v>
      </c>
      <c r="AQ8" s="87" t="str">
        <f t="shared" ref="AQ8:AQ71" si="11">IFERROR(AL8-AO8,"-")</f>
        <v>-</v>
      </c>
      <c r="AR8" s="53">
        <f t="shared" si="4"/>
        <v>80</v>
      </c>
    </row>
    <row r="9" spans="1:46" x14ac:dyDescent="0.25">
      <c r="A9" s="12">
        <f t="shared" si="0"/>
        <v>45264</v>
      </c>
      <c r="B9" s="16">
        <v>2023</v>
      </c>
      <c r="C9" s="17">
        <v>12</v>
      </c>
      <c r="D9" s="18">
        <v>4</v>
      </c>
      <c r="E9" s="29" t="s">
        <v>29</v>
      </c>
      <c r="F9" s="39" t="s">
        <v>32</v>
      </c>
      <c r="G9" s="40" t="s">
        <v>40</v>
      </c>
      <c r="H9" s="41">
        <v>1</v>
      </c>
      <c r="I9" s="42">
        <v>130</v>
      </c>
      <c r="J9" s="82">
        <f t="shared" si="1"/>
        <v>130</v>
      </c>
      <c r="K9" s="43"/>
      <c r="L9" s="83">
        <f t="shared" si="5"/>
        <v>630</v>
      </c>
      <c r="M9" s="53" t="s">
        <v>64</v>
      </c>
      <c r="N9" s="5"/>
      <c r="O9" s="103">
        <f>IF(SHOW=FALSE,$O$7+AI7,0)</f>
        <v>4901.6900000000005</v>
      </c>
      <c r="P9" s="5"/>
      <c r="Q9" s="12">
        <v>45262</v>
      </c>
      <c r="R9" s="36">
        <v>2</v>
      </c>
      <c r="S9" s="65" t="str">
        <v>SAÍDA</v>
      </c>
      <c r="T9" s="44" t="str">
        <v>TRANSPORTE</v>
      </c>
      <c r="U9" s="45" t="str">
        <v>UBER</v>
      </c>
      <c r="V9" s="46">
        <v>-30</v>
      </c>
      <c r="W9" s="46">
        <v>400</v>
      </c>
      <c r="X9" s="46">
        <f t="shared" si="6"/>
        <v>0</v>
      </c>
      <c r="Y9" s="46">
        <f t="shared" si="7"/>
        <v>30</v>
      </c>
      <c r="Z9" s="5"/>
      <c r="AA9" s="58" t="s">
        <v>31</v>
      </c>
      <c r="AB9" s="39" t="s">
        <v>18</v>
      </c>
      <c r="AC9" s="40" t="s">
        <v>49</v>
      </c>
      <c r="AD9" s="53">
        <f>VLOOKUP(AC9,AK7:AR130,8,0)</f>
        <v>420</v>
      </c>
      <c r="AE9" s="59">
        <f t="shared" si="3"/>
        <v>-420</v>
      </c>
      <c r="AF9" s="91" t="str">
        <f>"PARCELA MOTO (N°"&amp;1+AO9&amp;")"</f>
        <v>PARCELA MOTO (N°5)</v>
      </c>
      <c r="AG9" s="53">
        <f t="shared" ref="AG9:AG11" si="12">IF(AE9=0,"",SUM(AG8,AE9))</f>
        <v>-600</v>
      </c>
      <c r="AJ9" s="5"/>
      <c r="AK9" s="68" t="s">
        <v>49</v>
      </c>
      <c r="AL9" s="74">
        <v>10</v>
      </c>
      <c r="AM9" s="69">
        <v>4200</v>
      </c>
      <c r="AN9" s="69">
        <f t="shared" si="9"/>
        <v>420</v>
      </c>
      <c r="AO9" s="86">
        <v>4</v>
      </c>
      <c r="AP9" s="69">
        <f t="shared" si="10"/>
        <v>2520</v>
      </c>
      <c r="AQ9" s="86">
        <f t="shared" si="11"/>
        <v>6</v>
      </c>
      <c r="AR9" s="69">
        <f>IF(AL9=0,AN9,IFERROR(AP9/AQ9,0))</f>
        <v>420</v>
      </c>
    </row>
    <row r="10" spans="1:46" x14ac:dyDescent="0.25">
      <c r="A10" s="12">
        <f t="shared" si="0"/>
        <v>45262</v>
      </c>
      <c r="B10" s="16">
        <v>2023</v>
      </c>
      <c r="C10" s="17">
        <v>12</v>
      </c>
      <c r="D10" s="18">
        <v>2</v>
      </c>
      <c r="E10" s="29" t="s">
        <v>31</v>
      </c>
      <c r="F10" s="27" t="s">
        <v>56</v>
      </c>
      <c r="G10" s="28" t="s">
        <v>39</v>
      </c>
      <c r="H10" s="19">
        <v>2</v>
      </c>
      <c r="I10" s="23">
        <v>100</v>
      </c>
      <c r="J10" s="82">
        <f t="shared" si="1"/>
        <v>-200</v>
      </c>
      <c r="K10" s="30"/>
      <c r="L10" s="83">
        <f t="shared" si="5"/>
        <v>430</v>
      </c>
      <c r="M10" s="23" t="s">
        <v>53</v>
      </c>
      <c r="N10" s="5"/>
      <c r="P10" s="5"/>
      <c r="Q10" s="12">
        <v>45262</v>
      </c>
      <c r="R10" s="36">
        <v>2</v>
      </c>
      <c r="S10" s="65" t="str">
        <v>SAÍDA</v>
      </c>
      <c r="T10" s="37" t="str">
        <v>LAZER</v>
      </c>
      <c r="U10" s="38" t="str">
        <v>VIAGEM</v>
      </c>
      <c r="V10" s="31">
        <v>-80</v>
      </c>
      <c r="W10" s="31">
        <v>320</v>
      </c>
      <c r="X10" s="46">
        <f t="shared" si="6"/>
        <v>0</v>
      </c>
      <c r="Y10" s="46">
        <f t="shared" si="7"/>
        <v>80</v>
      </c>
      <c r="Z10" s="5"/>
      <c r="AA10" s="29" t="s">
        <v>29</v>
      </c>
      <c r="AB10" s="27" t="s">
        <v>4</v>
      </c>
      <c r="AC10" s="28" t="s">
        <v>24</v>
      </c>
      <c r="AD10" s="23">
        <v>2800</v>
      </c>
      <c r="AE10" s="60">
        <f t="shared" ref="AE10:AE11" si="13">IF(AA10="entrada",AD10,AD10*-1)</f>
        <v>2800</v>
      </c>
      <c r="AF10" s="92"/>
      <c r="AG10" s="23">
        <f t="shared" si="12"/>
        <v>2200</v>
      </c>
      <c r="AJ10" s="5"/>
      <c r="AK10" s="67"/>
      <c r="AL10" s="73"/>
      <c r="AM10" s="53"/>
      <c r="AN10" s="53">
        <f t="shared" si="9"/>
        <v>0</v>
      </c>
      <c r="AO10" s="87"/>
      <c r="AP10" s="53">
        <f t="shared" si="10"/>
        <v>0</v>
      </c>
      <c r="AQ10" s="87">
        <f t="shared" si="11"/>
        <v>0</v>
      </c>
      <c r="AR10" s="53">
        <f t="shared" ref="AR10:AR73" si="14">IF(AL10=0,AN10,IFERROR(AP10/AQ10,0))</f>
        <v>0</v>
      </c>
    </row>
    <row r="11" spans="1:46" x14ac:dyDescent="0.25">
      <c r="A11" s="12">
        <f t="shared" si="0"/>
        <v>45262</v>
      </c>
      <c r="B11" s="16">
        <v>2023</v>
      </c>
      <c r="C11" s="17">
        <v>12</v>
      </c>
      <c r="D11" s="18">
        <v>2</v>
      </c>
      <c r="E11" s="29" t="s">
        <v>31</v>
      </c>
      <c r="F11" s="39" t="s">
        <v>19</v>
      </c>
      <c r="G11" s="40" t="s">
        <v>20</v>
      </c>
      <c r="H11" s="41">
        <v>1</v>
      </c>
      <c r="I11" s="42">
        <v>30</v>
      </c>
      <c r="J11" s="82">
        <f t="shared" si="1"/>
        <v>-30</v>
      </c>
      <c r="K11" s="43"/>
      <c r="L11" s="83">
        <f t="shared" si="5"/>
        <v>400</v>
      </c>
      <c r="M11" s="53" t="s">
        <v>53</v>
      </c>
      <c r="N11" s="5"/>
      <c r="P11" s="5"/>
      <c r="Q11" s="12">
        <v>45264</v>
      </c>
      <c r="R11" s="36">
        <v>4</v>
      </c>
      <c r="S11" s="65" t="str">
        <v>SAÍDA</v>
      </c>
      <c r="T11" s="44" t="str">
        <v>CONTAS</v>
      </c>
      <c r="U11" s="45" t="str">
        <v>PRESENTE</v>
      </c>
      <c r="V11" s="46">
        <v>-160</v>
      </c>
      <c r="W11" s="46">
        <v>160</v>
      </c>
      <c r="X11" s="46">
        <f t="shared" si="6"/>
        <v>0</v>
      </c>
      <c r="Y11" s="46">
        <f t="shared" si="7"/>
        <v>160</v>
      </c>
      <c r="Z11" s="5"/>
      <c r="AA11" s="58" t="s">
        <v>29</v>
      </c>
      <c r="AB11" s="39" t="s">
        <v>4</v>
      </c>
      <c r="AC11" s="40" t="s">
        <v>57</v>
      </c>
      <c r="AD11" s="53">
        <v>400</v>
      </c>
      <c r="AE11" s="59">
        <f t="shared" si="13"/>
        <v>400</v>
      </c>
      <c r="AF11" s="91" t="s">
        <v>58</v>
      </c>
      <c r="AG11" s="53">
        <f t="shared" si="12"/>
        <v>2600</v>
      </c>
      <c r="AJ11" s="5"/>
      <c r="AK11" s="68"/>
      <c r="AL11" s="74"/>
      <c r="AM11" s="69"/>
      <c r="AN11" s="69">
        <f t="shared" si="9"/>
        <v>0</v>
      </c>
      <c r="AO11" s="86"/>
      <c r="AP11" s="69">
        <f t="shared" si="10"/>
        <v>0</v>
      </c>
      <c r="AQ11" s="86">
        <f t="shared" si="11"/>
        <v>0</v>
      </c>
      <c r="AR11" s="69">
        <f t="shared" si="14"/>
        <v>0</v>
      </c>
    </row>
    <row r="12" spans="1:46" x14ac:dyDescent="0.25">
      <c r="A12" s="12">
        <f t="shared" si="0"/>
        <v>45262</v>
      </c>
      <c r="B12" s="16">
        <v>2023</v>
      </c>
      <c r="C12" s="17">
        <v>12</v>
      </c>
      <c r="D12" s="18">
        <v>2</v>
      </c>
      <c r="E12" s="29" t="s">
        <v>31</v>
      </c>
      <c r="F12" s="27" t="s">
        <v>56</v>
      </c>
      <c r="G12" s="28" t="s">
        <v>33</v>
      </c>
      <c r="H12" s="19">
        <v>1</v>
      </c>
      <c r="I12" s="23">
        <v>80</v>
      </c>
      <c r="J12" s="82">
        <f t="shared" si="1"/>
        <v>-80</v>
      </c>
      <c r="K12" s="30"/>
      <c r="L12" s="83">
        <f t="shared" si="5"/>
        <v>320</v>
      </c>
      <c r="M12" s="23" t="s">
        <v>52</v>
      </c>
      <c r="N12" s="5"/>
      <c r="O12" s="5"/>
      <c r="P12" s="5"/>
      <c r="Q12" s="12">
        <v>45264</v>
      </c>
      <c r="R12" s="36">
        <v>4</v>
      </c>
      <c r="S12" s="65" t="str">
        <v>SAÍDA</v>
      </c>
      <c r="T12" s="37" t="str">
        <v>LAZER</v>
      </c>
      <c r="U12" s="38" t="str">
        <v>COMPUTADOR</v>
      </c>
      <c r="V12" s="31">
        <v>-80</v>
      </c>
      <c r="W12" s="31">
        <v>80</v>
      </c>
      <c r="X12" s="46">
        <f t="shared" si="6"/>
        <v>0</v>
      </c>
      <c r="Y12" s="46">
        <f t="shared" si="7"/>
        <v>80</v>
      </c>
      <c r="Z12" s="5"/>
      <c r="AA12" s="29"/>
      <c r="AB12" s="27"/>
      <c r="AC12" s="28"/>
      <c r="AD12" s="23"/>
      <c r="AE12" s="60">
        <f t="shared" si="3"/>
        <v>0</v>
      </c>
      <c r="AF12" s="92"/>
      <c r="AG12" s="23" t="str">
        <f t="shared" ref="AG11:AG12" si="15">IF(AE12=0,"",SUM(AG11,AE12))</f>
        <v/>
      </c>
      <c r="AJ12" s="5"/>
      <c r="AK12" s="67"/>
      <c r="AL12" s="73"/>
      <c r="AM12" s="53"/>
      <c r="AN12" s="53">
        <f t="shared" ref="AN12:AN13" si="16">IFERROR(AM12/AL12,AM12)</f>
        <v>0</v>
      </c>
      <c r="AO12" s="87"/>
      <c r="AP12" s="53">
        <f t="shared" si="10"/>
        <v>0</v>
      </c>
      <c r="AQ12" s="87">
        <f t="shared" si="11"/>
        <v>0</v>
      </c>
      <c r="AR12" s="53">
        <f t="shared" si="14"/>
        <v>0</v>
      </c>
    </row>
    <row r="13" spans="1:46" x14ac:dyDescent="0.25">
      <c r="A13" s="12">
        <f t="shared" si="0"/>
        <v>45264</v>
      </c>
      <c r="B13" s="16">
        <v>2023</v>
      </c>
      <c r="C13" s="17">
        <v>12</v>
      </c>
      <c r="D13" s="18">
        <v>4</v>
      </c>
      <c r="E13" s="29" t="s">
        <v>31</v>
      </c>
      <c r="F13" s="39" t="s">
        <v>18</v>
      </c>
      <c r="G13" s="40" t="s">
        <v>34</v>
      </c>
      <c r="H13" s="41">
        <v>1</v>
      </c>
      <c r="I13" s="42">
        <v>160</v>
      </c>
      <c r="J13" s="82">
        <f t="shared" si="1"/>
        <v>-160</v>
      </c>
      <c r="K13" s="43"/>
      <c r="L13" s="83">
        <f t="shared" si="5"/>
        <v>160</v>
      </c>
      <c r="M13" s="53" t="s">
        <v>53</v>
      </c>
      <c r="N13" s="5"/>
      <c r="O13" s="5"/>
      <c r="P13" s="5"/>
      <c r="Q13" s="12">
        <v>45265</v>
      </c>
      <c r="R13" s="36">
        <v>5</v>
      </c>
      <c r="S13" s="65" t="str">
        <v>SAÍDA</v>
      </c>
      <c r="T13" s="44" t="str">
        <v>LAZER</v>
      </c>
      <c r="U13" s="45" t="str">
        <v>COMIDA/BEBIDA</v>
      </c>
      <c r="V13" s="46">
        <v>-5</v>
      </c>
      <c r="W13" s="46">
        <v>75</v>
      </c>
      <c r="X13" s="46">
        <f t="shared" si="6"/>
        <v>0</v>
      </c>
      <c r="Y13" s="46">
        <f t="shared" si="7"/>
        <v>5</v>
      </c>
      <c r="Z13" s="5"/>
      <c r="AA13" s="29"/>
      <c r="AB13" s="39"/>
      <c r="AC13" s="40"/>
      <c r="AD13" s="53"/>
      <c r="AE13" s="59">
        <f t="shared" ref="AE13:AE76" si="17">IF(AA13="entrada",AD13,AD13*-1)</f>
        <v>0</v>
      </c>
      <c r="AF13" s="91"/>
      <c r="AG13" s="53" t="str">
        <f t="shared" ref="AG13:AG76" si="18">IF(AE13=0,"",SUM(AG12,AE13))</f>
        <v/>
      </c>
      <c r="AJ13" s="5"/>
      <c r="AK13" s="68"/>
      <c r="AL13" s="74"/>
      <c r="AM13" s="69"/>
      <c r="AN13" s="69">
        <f t="shared" si="16"/>
        <v>0</v>
      </c>
      <c r="AO13" s="86"/>
      <c r="AP13" s="69">
        <f t="shared" si="10"/>
        <v>0</v>
      </c>
      <c r="AQ13" s="86">
        <f t="shared" si="11"/>
        <v>0</v>
      </c>
      <c r="AR13" s="69">
        <f t="shared" si="14"/>
        <v>0</v>
      </c>
    </row>
    <row r="14" spans="1:46" ht="15.75" thickBot="1" x14ac:dyDescent="0.3">
      <c r="A14" s="12">
        <f t="shared" si="0"/>
        <v>45264</v>
      </c>
      <c r="B14" s="16">
        <v>2023</v>
      </c>
      <c r="C14" s="17">
        <v>12</v>
      </c>
      <c r="D14" s="18">
        <v>4</v>
      </c>
      <c r="E14" s="29" t="s">
        <v>31</v>
      </c>
      <c r="F14" s="27" t="s">
        <v>56</v>
      </c>
      <c r="G14" s="28" t="s">
        <v>10</v>
      </c>
      <c r="H14" s="19">
        <v>1</v>
      </c>
      <c r="I14" s="23">
        <v>80</v>
      </c>
      <c r="J14" s="82">
        <f t="shared" si="1"/>
        <v>-80</v>
      </c>
      <c r="K14" s="30"/>
      <c r="L14" s="83">
        <f t="shared" si="5"/>
        <v>80</v>
      </c>
      <c r="M14" s="23" t="s">
        <v>64</v>
      </c>
      <c r="N14" s="5"/>
      <c r="O14" s="5"/>
      <c r="P14" s="5"/>
      <c r="Q14" s="12">
        <v>45266</v>
      </c>
      <c r="R14" s="36">
        <v>6</v>
      </c>
      <c r="S14" s="65" t="str">
        <v>ENTRADA</v>
      </c>
      <c r="T14" s="37" t="str">
        <v>TRABALHO</v>
      </c>
      <c r="U14" s="38" t="str">
        <v>SALÁRIO</v>
      </c>
      <c r="V14" s="31">
        <v>2800</v>
      </c>
      <c r="W14" s="31">
        <v>2875</v>
      </c>
      <c r="X14" s="46">
        <f t="shared" si="6"/>
        <v>2800</v>
      </c>
      <c r="Y14" s="46">
        <f t="shared" si="7"/>
        <v>0</v>
      </c>
      <c r="Z14" s="5"/>
      <c r="AA14" s="29"/>
      <c r="AB14" s="94"/>
      <c r="AC14" s="95"/>
      <c r="AD14" s="69"/>
      <c r="AE14" s="60">
        <f t="shared" si="17"/>
        <v>0</v>
      </c>
      <c r="AF14" s="96"/>
      <c r="AG14" s="69" t="str">
        <f t="shared" si="18"/>
        <v/>
      </c>
      <c r="AJ14" s="5"/>
      <c r="AK14" s="67"/>
      <c r="AL14" s="73"/>
      <c r="AM14" s="53"/>
      <c r="AN14" s="53">
        <f t="shared" ref="AN14:AN15" si="19">IFERROR(AM14/AL14,AM14)</f>
        <v>0</v>
      </c>
      <c r="AO14" s="87"/>
      <c r="AP14" s="53">
        <f t="shared" si="10"/>
        <v>0</v>
      </c>
      <c r="AQ14" s="87">
        <f t="shared" si="11"/>
        <v>0</v>
      </c>
      <c r="AR14" s="53">
        <f t="shared" si="14"/>
        <v>0</v>
      </c>
    </row>
    <row r="15" spans="1:46" ht="15.75" thickBot="1" x14ac:dyDescent="0.3">
      <c r="A15" s="12">
        <f t="shared" si="0"/>
        <v>45265</v>
      </c>
      <c r="B15" s="16">
        <v>2023</v>
      </c>
      <c r="C15" s="17">
        <v>12</v>
      </c>
      <c r="D15" s="18">
        <v>5</v>
      </c>
      <c r="E15" s="29" t="s">
        <v>31</v>
      </c>
      <c r="F15" s="39" t="s">
        <v>56</v>
      </c>
      <c r="G15" s="40" t="s">
        <v>39</v>
      </c>
      <c r="H15" s="41">
        <v>1</v>
      </c>
      <c r="I15" s="42">
        <v>5</v>
      </c>
      <c r="J15" s="82">
        <f t="shared" si="1"/>
        <v>-5</v>
      </c>
      <c r="K15" s="43"/>
      <c r="L15" s="83">
        <f t="shared" si="5"/>
        <v>75</v>
      </c>
      <c r="M15" s="53" t="s">
        <v>53</v>
      </c>
      <c r="N15" s="5"/>
      <c r="O15" s="32" t="s">
        <v>45</v>
      </c>
      <c r="P15" s="5"/>
      <c r="Q15" s="12">
        <v>45266</v>
      </c>
      <c r="R15" s="36">
        <v>6</v>
      </c>
      <c r="S15" s="65" t="str">
        <v>SAÍDA</v>
      </c>
      <c r="T15" s="44" t="str">
        <v>LAZER</v>
      </c>
      <c r="U15" s="45" t="str">
        <v>COMPUTADOR</v>
      </c>
      <c r="V15" s="46">
        <v>-80</v>
      </c>
      <c r="W15" s="46">
        <v>2795</v>
      </c>
      <c r="X15" s="46">
        <f t="shared" si="6"/>
        <v>0</v>
      </c>
      <c r="Y15" s="46">
        <f t="shared" si="7"/>
        <v>80</v>
      </c>
      <c r="Z15" s="5"/>
      <c r="AA15" s="29"/>
      <c r="AB15" s="39"/>
      <c r="AC15" s="40"/>
      <c r="AD15" s="53"/>
      <c r="AE15" s="59">
        <f t="shared" si="17"/>
        <v>0</v>
      </c>
      <c r="AF15" s="91"/>
      <c r="AG15" s="53" t="str">
        <f t="shared" si="18"/>
        <v/>
      </c>
      <c r="AJ15" s="5"/>
      <c r="AK15" s="68"/>
      <c r="AL15" s="74"/>
      <c r="AM15" s="69"/>
      <c r="AN15" s="69">
        <f t="shared" si="19"/>
        <v>0</v>
      </c>
      <c r="AO15" s="86"/>
      <c r="AP15" s="69">
        <f t="shared" si="10"/>
        <v>0</v>
      </c>
      <c r="AQ15" s="86">
        <f t="shared" si="11"/>
        <v>0</v>
      </c>
      <c r="AR15" s="69">
        <f t="shared" si="14"/>
        <v>0</v>
      </c>
    </row>
    <row r="16" spans="1:46" x14ac:dyDescent="0.25">
      <c r="A16" s="12">
        <f t="shared" si="0"/>
        <v>45266</v>
      </c>
      <c r="B16" s="16">
        <v>2023</v>
      </c>
      <c r="C16" s="17">
        <v>12</v>
      </c>
      <c r="D16" s="18">
        <v>6</v>
      </c>
      <c r="E16" s="29" t="s">
        <v>29</v>
      </c>
      <c r="F16" s="27" t="s">
        <v>4</v>
      </c>
      <c r="G16" s="28" t="s">
        <v>24</v>
      </c>
      <c r="H16" s="19">
        <v>1</v>
      </c>
      <c r="I16" s="23">
        <v>2800</v>
      </c>
      <c r="J16" s="82">
        <f t="shared" si="1"/>
        <v>2800</v>
      </c>
      <c r="K16" s="30"/>
      <c r="L16" s="83">
        <f t="shared" si="5"/>
        <v>2875</v>
      </c>
      <c r="M16" s="23" t="s">
        <v>53</v>
      </c>
      <c r="N16" s="5"/>
      <c r="O16" s="35">
        <f>VLOOKUP(SELECTED,EDITAR!Q3:R14,2,0)</f>
        <v>12</v>
      </c>
      <c r="P16" s="5"/>
      <c r="Q16" s="12">
        <v>45266</v>
      </c>
      <c r="R16" s="36">
        <v>6</v>
      </c>
      <c r="S16" s="65" t="str">
        <v>SAÍDA</v>
      </c>
      <c r="T16" s="37" t="str">
        <v>CONTAS</v>
      </c>
      <c r="U16" s="38" t="str">
        <v>MOTO</v>
      </c>
      <c r="V16" s="31">
        <v>-200</v>
      </c>
      <c r="W16" s="31">
        <v>2595</v>
      </c>
      <c r="X16" s="46">
        <f t="shared" si="6"/>
        <v>0</v>
      </c>
      <c r="Y16" s="46">
        <f t="shared" si="7"/>
        <v>200</v>
      </c>
      <c r="Z16" s="5"/>
      <c r="AA16" s="29"/>
      <c r="AB16" s="94"/>
      <c r="AC16" s="95"/>
      <c r="AD16" s="69"/>
      <c r="AE16" s="60">
        <f t="shared" si="17"/>
        <v>0</v>
      </c>
      <c r="AF16" s="96"/>
      <c r="AG16" s="69" t="str">
        <f t="shared" si="18"/>
        <v/>
      </c>
      <c r="AJ16" s="5"/>
      <c r="AK16" s="67"/>
      <c r="AL16" s="73"/>
      <c r="AM16" s="53"/>
      <c r="AN16" s="53">
        <f t="shared" ref="AN16:AN79" si="20">IFERROR(AM16/AL16,AM16)</f>
        <v>0</v>
      </c>
      <c r="AO16" s="87"/>
      <c r="AP16" s="53">
        <f t="shared" si="10"/>
        <v>0</v>
      </c>
      <c r="AQ16" s="87">
        <f t="shared" si="11"/>
        <v>0</v>
      </c>
      <c r="AR16" s="53">
        <f t="shared" si="14"/>
        <v>0</v>
      </c>
    </row>
    <row r="17" spans="1:44" x14ac:dyDescent="0.25">
      <c r="A17" s="12">
        <f t="shared" si="0"/>
        <v>45266</v>
      </c>
      <c r="B17" s="16">
        <v>2023</v>
      </c>
      <c r="C17" s="17">
        <v>12</v>
      </c>
      <c r="D17" s="18">
        <v>6</v>
      </c>
      <c r="E17" s="29" t="s">
        <v>31</v>
      </c>
      <c r="F17" s="39" t="s">
        <v>56</v>
      </c>
      <c r="G17" s="40" t="s">
        <v>10</v>
      </c>
      <c r="H17" s="41">
        <v>1</v>
      </c>
      <c r="I17" s="42">
        <v>80</v>
      </c>
      <c r="J17" s="82">
        <f t="shared" si="1"/>
        <v>-80</v>
      </c>
      <c r="K17" s="43"/>
      <c r="L17" s="83">
        <f t="shared" si="5"/>
        <v>2795</v>
      </c>
      <c r="M17" s="53" t="s">
        <v>64</v>
      </c>
      <c r="N17" s="5"/>
      <c r="O17" s="35">
        <f>YEAR_SELECTED</f>
        <v>2023</v>
      </c>
      <c r="P17" s="5"/>
      <c r="Q17" s="12">
        <v>45266</v>
      </c>
      <c r="R17" s="36">
        <v>6</v>
      </c>
      <c r="S17" s="65" t="str">
        <v>SAÍDA</v>
      </c>
      <c r="T17" s="44" t="str">
        <v>CONTAS</v>
      </c>
      <c r="U17" s="45" t="str">
        <v>INTERNET</v>
      </c>
      <c r="V17" s="46">
        <v>-100</v>
      </c>
      <c r="W17" s="46">
        <v>2495</v>
      </c>
      <c r="X17" s="46">
        <f t="shared" si="6"/>
        <v>0</v>
      </c>
      <c r="Y17" s="46">
        <f t="shared" si="7"/>
        <v>100</v>
      </c>
      <c r="Z17" s="5"/>
      <c r="AA17" s="29"/>
      <c r="AB17" s="39"/>
      <c r="AC17" s="40"/>
      <c r="AD17" s="53"/>
      <c r="AE17" s="59">
        <f t="shared" si="17"/>
        <v>0</v>
      </c>
      <c r="AF17" s="91"/>
      <c r="AG17" s="53" t="str">
        <f t="shared" si="18"/>
        <v/>
      </c>
      <c r="AJ17" s="5"/>
      <c r="AK17" s="68"/>
      <c r="AL17" s="74"/>
      <c r="AM17" s="69"/>
      <c r="AN17" s="69">
        <f t="shared" si="20"/>
        <v>0</v>
      </c>
      <c r="AO17" s="86"/>
      <c r="AP17" s="69">
        <f t="shared" si="10"/>
        <v>0</v>
      </c>
      <c r="AQ17" s="86">
        <f t="shared" si="11"/>
        <v>0</v>
      </c>
      <c r="AR17" s="69">
        <f t="shared" si="14"/>
        <v>0</v>
      </c>
    </row>
    <row r="18" spans="1:44" ht="15.75" thickBot="1" x14ac:dyDescent="0.3">
      <c r="A18" s="12">
        <f t="shared" si="0"/>
        <v>45266</v>
      </c>
      <c r="B18" s="16">
        <v>2023</v>
      </c>
      <c r="C18" s="17">
        <v>12</v>
      </c>
      <c r="D18" s="18">
        <v>6</v>
      </c>
      <c r="E18" s="29" t="s">
        <v>31</v>
      </c>
      <c r="F18" s="27" t="s">
        <v>18</v>
      </c>
      <c r="G18" s="28" t="s">
        <v>17</v>
      </c>
      <c r="H18" s="19">
        <v>1</v>
      </c>
      <c r="I18" s="23">
        <v>200</v>
      </c>
      <c r="J18" s="82">
        <f t="shared" si="1"/>
        <v>-200</v>
      </c>
      <c r="K18" s="30"/>
      <c r="L18" s="83">
        <f t="shared" si="5"/>
        <v>2595</v>
      </c>
      <c r="M18" s="23" t="s">
        <v>64</v>
      </c>
      <c r="N18" s="5"/>
      <c r="O18" s="5"/>
      <c r="P18" s="5"/>
      <c r="Q18" s="12">
        <v>45268</v>
      </c>
      <c r="R18" s="36">
        <v>8</v>
      </c>
      <c r="S18" s="65" t="str">
        <v>SAÍDA</v>
      </c>
      <c r="T18" s="37" t="str">
        <v>CONTAS</v>
      </c>
      <c r="U18" s="38" t="str">
        <v>RECARGA</v>
      </c>
      <c r="V18" s="31">
        <v>-20</v>
      </c>
      <c r="W18" s="31">
        <v>2475</v>
      </c>
      <c r="X18" s="46">
        <f t="shared" si="6"/>
        <v>0</v>
      </c>
      <c r="Y18" s="46">
        <f t="shared" si="7"/>
        <v>20</v>
      </c>
      <c r="Z18" s="5"/>
      <c r="AA18" s="29"/>
      <c r="AB18" s="94"/>
      <c r="AC18" s="95"/>
      <c r="AD18" s="69"/>
      <c r="AE18" s="60">
        <f t="shared" si="17"/>
        <v>0</v>
      </c>
      <c r="AF18" s="96"/>
      <c r="AG18" s="69" t="str">
        <f t="shared" si="18"/>
        <v/>
      </c>
      <c r="AJ18" s="5"/>
      <c r="AK18" s="67"/>
      <c r="AL18" s="73"/>
      <c r="AM18" s="53"/>
      <c r="AN18" s="53">
        <f t="shared" si="20"/>
        <v>0</v>
      </c>
      <c r="AO18" s="87"/>
      <c r="AP18" s="53">
        <f t="shared" si="10"/>
        <v>0</v>
      </c>
      <c r="AQ18" s="87">
        <f t="shared" si="11"/>
        <v>0</v>
      </c>
      <c r="AR18" s="53">
        <f t="shared" si="14"/>
        <v>0</v>
      </c>
    </row>
    <row r="19" spans="1:44" ht="15.75" thickBot="1" x14ac:dyDescent="0.3">
      <c r="A19" s="12">
        <f t="shared" si="0"/>
        <v>45266</v>
      </c>
      <c r="B19" s="16">
        <v>2023</v>
      </c>
      <c r="C19" s="17">
        <v>12</v>
      </c>
      <c r="D19" s="18">
        <v>6</v>
      </c>
      <c r="E19" s="29" t="s">
        <v>31</v>
      </c>
      <c r="F19" s="39" t="s">
        <v>18</v>
      </c>
      <c r="G19" s="40" t="s">
        <v>16</v>
      </c>
      <c r="H19" s="41">
        <v>1</v>
      </c>
      <c r="I19" s="42">
        <v>100</v>
      </c>
      <c r="J19" s="82">
        <f t="shared" si="1"/>
        <v>-100</v>
      </c>
      <c r="K19" s="43"/>
      <c r="L19" s="83">
        <f t="shared" si="5"/>
        <v>2495</v>
      </c>
      <c r="M19" s="53" t="s">
        <v>64</v>
      </c>
      <c r="N19" s="5"/>
      <c r="O19" s="32" t="s">
        <v>84</v>
      </c>
      <c r="P19" s="5"/>
      <c r="Q19" s="12">
        <v>45268</v>
      </c>
      <c r="R19" s="36">
        <v>8</v>
      </c>
      <c r="S19" s="65" t="str">
        <v>SAÍDA</v>
      </c>
      <c r="T19" s="44" t="str">
        <v>LAZER</v>
      </c>
      <c r="U19" s="45" t="str">
        <v>COMIDA/BEBIDA</v>
      </c>
      <c r="V19" s="46">
        <v>-70</v>
      </c>
      <c r="W19" s="46">
        <v>2405</v>
      </c>
      <c r="X19" s="46">
        <f t="shared" si="6"/>
        <v>0</v>
      </c>
      <c r="Y19" s="46">
        <f t="shared" si="7"/>
        <v>70</v>
      </c>
      <c r="Z19" s="5"/>
      <c r="AA19" s="29"/>
      <c r="AB19" s="39"/>
      <c r="AC19" s="40"/>
      <c r="AD19" s="53"/>
      <c r="AE19" s="59">
        <f t="shared" si="17"/>
        <v>0</v>
      </c>
      <c r="AF19" s="91"/>
      <c r="AG19" s="53" t="str">
        <f t="shared" si="18"/>
        <v/>
      </c>
      <c r="AJ19" s="5"/>
      <c r="AK19" s="68"/>
      <c r="AL19" s="74"/>
      <c r="AM19" s="69"/>
      <c r="AN19" s="69">
        <f t="shared" si="20"/>
        <v>0</v>
      </c>
      <c r="AO19" s="86"/>
      <c r="AP19" s="69">
        <f t="shared" si="10"/>
        <v>0</v>
      </c>
      <c r="AQ19" s="86">
        <f t="shared" si="11"/>
        <v>0</v>
      </c>
      <c r="AR19" s="69">
        <f t="shared" si="14"/>
        <v>0</v>
      </c>
    </row>
    <row r="20" spans="1:44" x14ac:dyDescent="0.25">
      <c r="A20" s="12">
        <f t="shared" si="0"/>
        <v>45268</v>
      </c>
      <c r="B20" s="16">
        <v>2023</v>
      </c>
      <c r="C20" s="17">
        <v>12</v>
      </c>
      <c r="D20" s="18">
        <v>8</v>
      </c>
      <c r="E20" s="29" t="s">
        <v>31</v>
      </c>
      <c r="F20" s="27" t="s">
        <v>18</v>
      </c>
      <c r="G20" s="28" t="s">
        <v>35</v>
      </c>
      <c r="H20" s="19">
        <v>1</v>
      </c>
      <c r="I20" s="23">
        <v>20</v>
      </c>
      <c r="J20" s="82">
        <f t="shared" si="1"/>
        <v>-20</v>
      </c>
      <c r="K20" s="30"/>
      <c r="L20" s="83">
        <f t="shared" si="5"/>
        <v>2475</v>
      </c>
      <c r="M20" s="23" t="s">
        <v>53</v>
      </c>
      <c r="N20" s="5"/>
      <c r="O20" s="35" t="s">
        <v>64</v>
      </c>
      <c r="P20" s="5"/>
      <c r="Q20" s="12">
        <v>45268</v>
      </c>
      <c r="R20" s="36">
        <v>8</v>
      </c>
      <c r="S20" s="65" t="str">
        <v>SAÍDA</v>
      </c>
      <c r="T20" s="37" t="str">
        <v>MERCADO</v>
      </c>
      <c r="U20" s="38" t="str">
        <v>RANCHO</v>
      </c>
      <c r="V20" s="31">
        <v>-400</v>
      </c>
      <c r="W20" s="31">
        <v>2005</v>
      </c>
      <c r="X20" s="46">
        <f t="shared" si="6"/>
        <v>0</v>
      </c>
      <c r="Y20" s="46">
        <f t="shared" si="7"/>
        <v>400</v>
      </c>
      <c r="Z20" s="5"/>
      <c r="AA20" s="29"/>
      <c r="AB20" s="94"/>
      <c r="AC20" s="95"/>
      <c r="AD20" s="69"/>
      <c r="AE20" s="60">
        <f t="shared" si="17"/>
        <v>0</v>
      </c>
      <c r="AF20" s="96"/>
      <c r="AG20" s="69" t="str">
        <f t="shared" si="18"/>
        <v/>
      </c>
      <c r="AJ20" s="5"/>
      <c r="AK20" s="67"/>
      <c r="AL20" s="73"/>
      <c r="AM20" s="53"/>
      <c r="AN20" s="53">
        <f t="shared" si="20"/>
        <v>0</v>
      </c>
      <c r="AO20" s="87"/>
      <c r="AP20" s="53">
        <f t="shared" si="10"/>
        <v>0</v>
      </c>
      <c r="AQ20" s="87">
        <f t="shared" si="11"/>
        <v>0</v>
      </c>
      <c r="AR20" s="53">
        <f t="shared" si="14"/>
        <v>0</v>
      </c>
    </row>
    <row r="21" spans="1:44" x14ac:dyDescent="0.25">
      <c r="A21" s="12">
        <f t="shared" si="0"/>
        <v>45268</v>
      </c>
      <c r="B21" s="16">
        <v>2023</v>
      </c>
      <c r="C21" s="17">
        <v>12</v>
      </c>
      <c r="D21" s="18">
        <v>8</v>
      </c>
      <c r="E21" s="29" t="s">
        <v>31</v>
      </c>
      <c r="F21" s="39" t="s">
        <v>56</v>
      </c>
      <c r="G21" s="40" t="s">
        <v>39</v>
      </c>
      <c r="H21" s="41">
        <v>1</v>
      </c>
      <c r="I21" s="42">
        <v>70</v>
      </c>
      <c r="J21" s="82">
        <f t="shared" si="1"/>
        <v>-70</v>
      </c>
      <c r="K21" s="43"/>
      <c r="L21" s="83">
        <f t="shared" si="5"/>
        <v>2405</v>
      </c>
      <c r="M21" s="53" t="s">
        <v>53</v>
      </c>
      <c r="N21" s="5"/>
      <c r="O21" s="5"/>
      <c r="P21" s="5"/>
      <c r="Q21" s="12">
        <v>45268</v>
      </c>
      <c r="R21" s="36">
        <v>8</v>
      </c>
      <c r="S21" s="65" t="str">
        <v>SAÍDA</v>
      </c>
      <c r="T21" s="44" t="str">
        <v>LAZER</v>
      </c>
      <c r="U21" s="45" t="str">
        <v>ALMOÇO/JANTA</v>
      </c>
      <c r="V21" s="46">
        <v>-50</v>
      </c>
      <c r="W21" s="46">
        <v>1955</v>
      </c>
      <c r="X21" s="46">
        <f t="shared" si="6"/>
        <v>0</v>
      </c>
      <c r="Y21" s="46">
        <f t="shared" si="7"/>
        <v>50</v>
      </c>
      <c r="Z21" s="5"/>
      <c r="AA21" s="29"/>
      <c r="AB21" s="39"/>
      <c r="AC21" s="40"/>
      <c r="AD21" s="53"/>
      <c r="AE21" s="59">
        <f t="shared" si="17"/>
        <v>0</v>
      </c>
      <c r="AF21" s="91"/>
      <c r="AG21" s="53" t="str">
        <f t="shared" si="18"/>
        <v/>
      </c>
      <c r="AJ21" s="5"/>
      <c r="AK21" s="68"/>
      <c r="AL21" s="74"/>
      <c r="AM21" s="69"/>
      <c r="AN21" s="69">
        <f t="shared" si="20"/>
        <v>0</v>
      </c>
      <c r="AO21" s="86"/>
      <c r="AP21" s="69">
        <f t="shared" si="10"/>
        <v>0</v>
      </c>
      <c r="AQ21" s="86">
        <f t="shared" si="11"/>
        <v>0</v>
      </c>
      <c r="AR21" s="69">
        <f t="shared" si="14"/>
        <v>0</v>
      </c>
    </row>
    <row r="22" spans="1:44" x14ac:dyDescent="0.25">
      <c r="A22" s="12">
        <f t="shared" si="0"/>
        <v>45268</v>
      </c>
      <c r="B22" s="16">
        <v>2023</v>
      </c>
      <c r="C22" s="17">
        <v>12</v>
      </c>
      <c r="D22" s="18">
        <v>8</v>
      </c>
      <c r="E22" s="29" t="s">
        <v>31</v>
      </c>
      <c r="F22" s="27" t="s">
        <v>32</v>
      </c>
      <c r="G22" s="28" t="s">
        <v>40</v>
      </c>
      <c r="H22" s="19">
        <v>1</v>
      </c>
      <c r="I22" s="23">
        <v>400</v>
      </c>
      <c r="J22" s="82">
        <f t="shared" si="1"/>
        <v>-400</v>
      </c>
      <c r="K22" s="30"/>
      <c r="L22" s="83">
        <f t="shared" si="5"/>
        <v>2005</v>
      </c>
      <c r="M22" s="23" t="s">
        <v>53</v>
      </c>
      <c r="N22" s="5"/>
      <c r="O22" s="5"/>
      <c r="P22" s="5"/>
      <c r="Q22" s="12">
        <v>45268</v>
      </c>
      <c r="R22" s="36">
        <v>8</v>
      </c>
      <c r="S22" s="65" t="str">
        <v>ENTRADA</v>
      </c>
      <c r="T22" s="37" t="str">
        <v>OUTROS</v>
      </c>
      <c r="U22" s="38" t="str">
        <v>DÍVIDAS</v>
      </c>
      <c r="V22" s="31">
        <v>300</v>
      </c>
      <c r="W22" s="31">
        <v>2255</v>
      </c>
      <c r="X22" s="46">
        <f t="shared" si="6"/>
        <v>300</v>
      </c>
      <c r="Y22" s="46">
        <f t="shared" si="7"/>
        <v>0</v>
      </c>
      <c r="Z22" s="5"/>
      <c r="AA22" s="29"/>
      <c r="AB22" s="94"/>
      <c r="AC22" s="95"/>
      <c r="AD22" s="69"/>
      <c r="AE22" s="60">
        <f t="shared" si="17"/>
        <v>0</v>
      </c>
      <c r="AF22" s="96"/>
      <c r="AG22" s="69" t="str">
        <f t="shared" si="18"/>
        <v/>
      </c>
      <c r="AJ22" s="5"/>
      <c r="AK22" s="67"/>
      <c r="AL22" s="73"/>
      <c r="AM22" s="53"/>
      <c r="AN22" s="53">
        <f t="shared" si="20"/>
        <v>0</v>
      </c>
      <c r="AO22" s="87"/>
      <c r="AP22" s="53">
        <f t="shared" si="10"/>
        <v>0</v>
      </c>
      <c r="AQ22" s="87">
        <f t="shared" si="11"/>
        <v>0</v>
      </c>
      <c r="AR22" s="53">
        <f t="shared" si="14"/>
        <v>0</v>
      </c>
    </row>
    <row r="23" spans="1:44" x14ac:dyDescent="0.25">
      <c r="A23" s="12">
        <f t="shared" si="0"/>
        <v>45268</v>
      </c>
      <c r="B23" s="16">
        <v>2023</v>
      </c>
      <c r="C23" s="17">
        <v>12</v>
      </c>
      <c r="D23" s="18">
        <v>8</v>
      </c>
      <c r="E23" s="29" t="s">
        <v>31</v>
      </c>
      <c r="F23" s="39" t="s">
        <v>56</v>
      </c>
      <c r="G23" s="40" t="s">
        <v>38</v>
      </c>
      <c r="H23" s="41">
        <v>1</v>
      </c>
      <c r="I23" s="42">
        <v>50</v>
      </c>
      <c r="J23" s="82">
        <f t="shared" si="1"/>
        <v>-50</v>
      </c>
      <c r="K23" s="43"/>
      <c r="L23" s="83">
        <f t="shared" si="5"/>
        <v>1955</v>
      </c>
      <c r="M23" s="53" t="s">
        <v>53</v>
      </c>
      <c r="N23" s="5"/>
      <c r="O23" s="5"/>
      <c r="P23" s="5"/>
      <c r="Q23" s="12">
        <v>45269</v>
      </c>
      <c r="R23" s="36">
        <v>9</v>
      </c>
      <c r="S23" s="65" t="str">
        <v>SAÍDA</v>
      </c>
      <c r="T23" s="44" t="str">
        <v>CONTAS</v>
      </c>
      <c r="U23" s="45" t="str">
        <v>PRESENTE</v>
      </c>
      <c r="V23" s="46">
        <v>-35</v>
      </c>
      <c r="W23" s="46">
        <v>2220</v>
      </c>
      <c r="X23" s="46">
        <f t="shared" si="6"/>
        <v>0</v>
      </c>
      <c r="Y23" s="46">
        <f t="shared" si="7"/>
        <v>35</v>
      </c>
      <c r="Z23" s="5"/>
      <c r="AA23" s="29"/>
      <c r="AB23" s="39"/>
      <c r="AC23" s="40"/>
      <c r="AD23" s="53"/>
      <c r="AE23" s="59">
        <f t="shared" si="17"/>
        <v>0</v>
      </c>
      <c r="AF23" s="91"/>
      <c r="AG23" s="53" t="str">
        <f t="shared" si="18"/>
        <v/>
      </c>
      <c r="AJ23" s="5"/>
      <c r="AK23" s="68"/>
      <c r="AL23" s="74"/>
      <c r="AM23" s="69"/>
      <c r="AN23" s="69">
        <f t="shared" si="20"/>
        <v>0</v>
      </c>
      <c r="AO23" s="86"/>
      <c r="AP23" s="69">
        <f t="shared" si="10"/>
        <v>0</v>
      </c>
      <c r="AQ23" s="86">
        <f t="shared" si="11"/>
        <v>0</v>
      </c>
      <c r="AR23" s="69">
        <f t="shared" si="14"/>
        <v>0</v>
      </c>
    </row>
    <row r="24" spans="1:44" x14ac:dyDescent="0.25">
      <c r="A24" s="12">
        <f t="shared" si="0"/>
        <v>45268</v>
      </c>
      <c r="B24" s="16">
        <v>2023</v>
      </c>
      <c r="C24" s="17">
        <v>12</v>
      </c>
      <c r="D24" s="18">
        <v>8</v>
      </c>
      <c r="E24" s="29" t="s">
        <v>29</v>
      </c>
      <c r="F24" s="27" t="s">
        <v>37</v>
      </c>
      <c r="G24" s="28" t="s">
        <v>36</v>
      </c>
      <c r="H24" s="19">
        <v>1</v>
      </c>
      <c r="I24" s="23">
        <v>300</v>
      </c>
      <c r="J24" s="82">
        <f t="shared" si="1"/>
        <v>300</v>
      </c>
      <c r="K24" s="30"/>
      <c r="L24" s="83">
        <f t="shared" si="5"/>
        <v>2255</v>
      </c>
      <c r="M24" s="23" t="s">
        <v>64</v>
      </c>
      <c r="N24" s="5"/>
      <c r="O24" s="5"/>
      <c r="P24" s="5"/>
      <c r="Q24" s="12">
        <v>45269</v>
      </c>
      <c r="R24" s="36">
        <v>9</v>
      </c>
      <c r="S24" s="65" t="str">
        <v>SAÍDA</v>
      </c>
      <c r="T24" s="37" t="str">
        <v>LAZER</v>
      </c>
      <c r="U24" s="38" t="str">
        <v>COMIDA/BEBIDA</v>
      </c>
      <c r="V24" s="31">
        <v>-70</v>
      </c>
      <c r="W24" s="31">
        <v>2150</v>
      </c>
      <c r="X24" s="46">
        <f t="shared" si="6"/>
        <v>0</v>
      </c>
      <c r="Y24" s="46">
        <f t="shared" si="7"/>
        <v>70</v>
      </c>
      <c r="Z24" s="5"/>
      <c r="AA24" s="29"/>
      <c r="AB24" s="94"/>
      <c r="AC24" s="95"/>
      <c r="AD24" s="69"/>
      <c r="AE24" s="60">
        <f t="shared" si="17"/>
        <v>0</v>
      </c>
      <c r="AF24" s="96"/>
      <c r="AG24" s="69" t="str">
        <f t="shared" si="18"/>
        <v/>
      </c>
      <c r="AJ24" s="5"/>
      <c r="AK24" s="67"/>
      <c r="AL24" s="73"/>
      <c r="AM24" s="53"/>
      <c r="AN24" s="53">
        <f t="shared" si="20"/>
        <v>0</v>
      </c>
      <c r="AO24" s="87"/>
      <c r="AP24" s="53">
        <f t="shared" si="10"/>
        <v>0</v>
      </c>
      <c r="AQ24" s="87">
        <f t="shared" si="11"/>
        <v>0</v>
      </c>
      <c r="AR24" s="53">
        <f t="shared" si="14"/>
        <v>0</v>
      </c>
    </row>
    <row r="25" spans="1:44" x14ac:dyDescent="0.25">
      <c r="A25" s="12">
        <f t="shared" si="0"/>
        <v>45269</v>
      </c>
      <c r="B25" s="16">
        <v>2023</v>
      </c>
      <c r="C25" s="17">
        <v>12</v>
      </c>
      <c r="D25" s="18">
        <v>9</v>
      </c>
      <c r="E25" s="29" t="s">
        <v>31</v>
      </c>
      <c r="F25" s="39" t="s">
        <v>18</v>
      </c>
      <c r="G25" s="40" t="s">
        <v>34</v>
      </c>
      <c r="H25" s="41">
        <v>1</v>
      </c>
      <c r="I25" s="42">
        <v>35</v>
      </c>
      <c r="J25" s="82">
        <f t="shared" si="1"/>
        <v>-35</v>
      </c>
      <c r="K25" s="43"/>
      <c r="L25" s="83">
        <f t="shared" si="5"/>
        <v>2220</v>
      </c>
      <c r="M25" s="53" t="s">
        <v>53</v>
      </c>
      <c r="N25" s="5"/>
      <c r="O25" s="5"/>
      <c r="P25" s="5"/>
      <c r="Q25" s="12">
        <v>45269</v>
      </c>
      <c r="R25" s="36">
        <v>9</v>
      </c>
      <c r="S25" s="65" t="str">
        <v>SAÍDA</v>
      </c>
      <c r="T25" s="44" t="str">
        <v>CONTAS</v>
      </c>
      <c r="U25" s="45" t="str">
        <v>PRESENTE</v>
      </c>
      <c r="V25" s="46">
        <v>-20</v>
      </c>
      <c r="W25" s="46">
        <v>2130</v>
      </c>
      <c r="X25" s="46">
        <f t="shared" si="6"/>
        <v>0</v>
      </c>
      <c r="Y25" s="46">
        <f t="shared" si="7"/>
        <v>20</v>
      </c>
      <c r="Z25" s="5"/>
      <c r="AA25" s="29"/>
      <c r="AB25" s="39"/>
      <c r="AC25" s="40"/>
      <c r="AD25" s="53"/>
      <c r="AE25" s="59">
        <f t="shared" si="17"/>
        <v>0</v>
      </c>
      <c r="AF25" s="91"/>
      <c r="AG25" s="53" t="str">
        <f t="shared" si="18"/>
        <v/>
      </c>
      <c r="AJ25" s="5"/>
      <c r="AK25" s="68"/>
      <c r="AL25" s="74"/>
      <c r="AM25" s="69"/>
      <c r="AN25" s="69">
        <f t="shared" si="20"/>
        <v>0</v>
      </c>
      <c r="AO25" s="86"/>
      <c r="AP25" s="69">
        <f t="shared" si="10"/>
        <v>0</v>
      </c>
      <c r="AQ25" s="86">
        <f t="shared" si="11"/>
        <v>0</v>
      </c>
      <c r="AR25" s="69">
        <f t="shared" si="14"/>
        <v>0</v>
      </c>
    </row>
    <row r="26" spans="1:44" x14ac:dyDescent="0.25">
      <c r="A26" s="12">
        <f t="shared" si="0"/>
        <v>45269</v>
      </c>
      <c r="B26" s="16">
        <v>2023</v>
      </c>
      <c r="C26" s="17">
        <v>12</v>
      </c>
      <c r="D26" s="18">
        <v>9</v>
      </c>
      <c r="E26" s="29" t="s">
        <v>31</v>
      </c>
      <c r="F26" s="27" t="s">
        <v>56</v>
      </c>
      <c r="G26" s="28" t="s">
        <v>39</v>
      </c>
      <c r="H26" s="19">
        <v>1</v>
      </c>
      <c r="I26" s="23">
        <v>70</v>
      </c>
      <c r="J26" s="82">
        <f t="shared" si="1"/>
        <v>-70</v>
      </c>
      <c r="K26" s="30"/>
      <c r="L26" s="83">
        <f t="shared" si="5"/>
        <v>2150</v>
      </c>
      <c r="M26" s="23" t="s">
        <v>52</v>
      </c>
      <c r="N26" s="5"/>
      <c r="O26" s="5"/>
      <c r="P26" s="5"/>
      <c r="Q26" s="12">
        <v>45269</v>
      </c>
      <c r="R26" s="36">
        <v>9</v>
      </c>
      <c r="S26" s="65" t="str">
        <v>SAÍDA</v>
      </c>
      <c r="T26" s="37" t="str">
        <v>LAZER</v>
      </c>
      <c r="U26" s="38" t="str">
        <v>COMIDA/BEBIDA</v>
      </c>
      <c r="V26" s="31">
        <v>-16</v>
      </c>
      <c r="W26" s="31">
        <v>2114</v>
      </c>
      <c r="X26" s="46">
        <f t="shared" si="6"/>
        <v>0</v>
      </c>
      <c r="Y26" s="46">
        <f t="shared" si="7"/>
        <v>16</v>
      </c>
      <c r="Z26" s="5"/>
      <c r="AA26" s="29"/>
      <c r="AB26" s="94"/>
      <c r="AC26" s="95"/>
      <c r="AD26" s="69"/>
      <c r="AE26" s="60">
        <f t="shared" si="17"/>
        <v>0</v>
      </c>
      <c r="AF26" s="96"/>
      <c r="AG26" s="69" t="str">
        <f t="shared" si="18"/>
        <v/>
      </c>
      <c r="AJ26" s="5"/>
      <c r="AK26" s="67"/>
      <c r="AL26" s="73"/>
      <c r="AM26" s="53"/>
      <c r="AN26" s="53">
        <f t="shared" si="20"/>
        <v>0</v>
      </c>
      <c r="AO26" s="87"/>
      <c r="AP26" s="53">
        <f t="shared" si="10"/>
        <v>0</v>
      </c>
      <c r="AQ26" s="87">
        <f t="shared" si="11"/>
        <v>0</v>
      </c>
      <c r="AR26" s="53">
        <f t="shared" si="14"/>
        <v>0</v>
      </c>
    </row>
    <row r="27" spans="1:44" x14ac:dyDescent="0.25">
      <c r="A27" s="12">
        <f t="shared" si="0"/>
        <v>45269</v>
      </c>
      <c r="B27" s="16">
        <v>2023</v>
      </c>
      <c r="C27" s="17">
        <v>12</v>
      </c>
      <c r="D27" s="18">
        <v>9</v>
      </c>
      <c r="E27" s="29" t="s">
        <v>31</v>
      </c>
      <c r="F27" s="39" t="s">
        <v>18</v>
      </c>
      <c r="G27" s="40" t="s">
        <v>34</v>
      </c>
      <c r="H27" s="41">
        <v>1</v>
      </c>
      <c r="I27" s="42">
        <v>20</v>
      </c>
      <c r="J27" s="82">
        <f t="shared" si="1"/>
        <v>-20</v>
      </c>
      <c r="K27" s="43"/>
      <c r="L27" s="83">
        <f t="shared" si="5"/>
        <v>2130</v>
      </c>
      <c r="M27" s="53" t="s">
        <v>53</v>
      </c>
      <c r="N27" s="5"/>
      <c r="O27" s="5"/>
      <c r="P27" s="5"/>
      <c r="Q27" s="12">
        <v>45269</v>
      </c>
      <c r="R27" s="36">
        <v>9</v>
      </c>
      <c r="S27" s="65" t="str">
        <v>SAÍDA</v>
      </c>
      <c r="T27" s="44" t="str">
        <v>MERCADO</v>
      </c>
      <c r="U27" s="45" t="str">
        <v>RANCHO</v>
      </c>
      <c r="V27" s="46">
        <v>-30</v>
      </c>
      <c r="W27" s="46">
        <v>2084</v>
      </c>
      <c r="X27" s="46">
        <f t="shared" si="6"/>
        <v>0</v>
      </c>
      <c r="Y27" s="46">
        <f t="shared" si="7"/>
        <v>30</v>
      </c>
      <c r="Z27" s="5"/>
      <c r="AA27" s="29"/>
      <c r="AB27" s="39"/>
      <c r="AC27" s="40"/>
      <c r="AD27" s="53"/>
      <c r="AE27" s="59">
        <f t="shared" si="17"/>
        <v>0</v>
      </c>
      <c r="AF27" s="91"/>
      <c r="AG27" s="53" t="str">
        <f t="shared" si="18"/>
        <v/>
      </c>
      <c r="AJ27" s="5"/>
      <c r="AK27" s="68"/>
      <c r="AL27" s="74"/>
      <c r="AM27" s="69"/>
      <c r="AN27" s="69">
        <f t="shared" si="20"/>
        <v>0</v>
      </c>
      <c r="AO27" s="86"/>
      <c r="AP27" s="69">
        <f t="shared" si="10"/>
        <v>0</v>
      </c>
      <c r="AQ27" s="86">
        <f t="shared" si="11"/>
        <v>0</v>
      </c>
      <c r="AR27" s="69">
        <f t="shared" si="14"/>
        <v>0</v>
      </c>
    </row>
    <row r="28" spans="1:44" x14ac:dyDescent="0.25">
      <c r="A28" s="12">
        <f t="shared" si="0"/>
        <v>45269</v>
      </c>
      <c r="B28" s="16">
        <v>2023</v>
      </c>
      <c r="C28" s="17">
        <v>12</v>
      </c>
      <c r="D28" s="18">
        <v>9</v>
      </c>
      <c r="E28" s="29" t="s">
        <v>31</v>
      </c>
      <c r="F28" s="27" t="s">
        <v>56</v>
      </c>
      <c r="G28" s="28" t="s">
        <v>39</v>
      </c>
      <c r="H28" s="19">
        <v>1</v>
      </c>
      <c r="I28" s="23">
        <v>16</v>
      </c>
      <c r="J28" s="82">
        <f t="shared" si="1"/>
        <v>-16</v>
      </c>
      <c r="K28" s="30"/>
      <c r="L28" s="83">
        <f t="shared" si="5"/>
        <v>2114</v>
      </c>
      <c r="M28" s="23" t="s">
        <v>53</v>
      </c>
      <c r="N28" s="5"/>
      <c r="O28" s="5"/>
      <c r="P28" s="5"/>
      <c r="Q28" s="12">
        <v>45270</v>
      </c>
      <c r="R28" s="36">
        <v>10</v>
      </c>
      <c r="S28" s="65" t="str">
        <v>SAÍDA</v>
      </c>
      <c r="T28" s="37" t="str">
        <v>CONTAS</v>
      </c>
      <c r="U28" s="38" t="str">
        <v>PRESENTE</v>
      </c>
      <c r="V28" s="31">
        <v>-20</v>
      </c>
      <c r="W28" s="31">
        <v>2064</v>
      </c>
      <c r="X28" s="46">
        <f t="shared" si="6"/>
        <v>0</v>
      </c>
      <c r="Y28" s="46">
        <f t="shared" si="7"/>
        <v>20</v>
      </c>
      <c r="Z28" s="5"/>
      <c r="AA28" s="29"/>
      <c r="AB28" s="94"/>
      <c r="AC28" s="95"/>
      <c r="AD28" s="69"/>
      <c r="AE28" s="60">
        <f t="shared" si="17"/>
        <v>0</v>
      </c>
      <c r="AF28" s="96"/>
      <c r="AG28" s="69" t="str">
        <f t="shared" si="18"/>
        <v/>
      </c>
      <c r="AJ28" s="5"/>
      <c r="AK28" s="67"/>
      <c r="AL28" s="73"/>
      <c r="AM28" s="53"/>
      <c r="AN28" s="53">
        <f t="shared" si="20"/>
        <v>0</v>
      </c>
      <c r="AO28" s="87"/>
      <c r="AP28" s="53">
        <f t="shared" si="10"/>
        <v>0</v>
      </c>
      <c r="AQ28" s="87">
        <f t="shared" si="11"/>
        <v>0</v>
      </c>
      <c r="AR28" s="53">
        <f t="shared" si="14"/>
        <v>0</v>
      </c>
    </row>
    <row r="29" spans="1:44" x14ac:dyDescent="0.25">
      <c r="A29" s="12">
        <f t="shared" si="0"/>
        <v>45269</v>
      </c>
      <c r="B29" s="16">
        <v>2023</v>
      </c>
      <c r="C29" s="17">
        <v>12</v>
      </c>
      <c r="D29" s="18">
        <v>9</v>
      </c>
      <c r="E29" s="29" t="s">
        <v>31</v>
      </c>
      <c r="F29" s="39" t="s">
        <v>32</v>
      </c>
      <c r="G29" s="40" t="s">
        <v>40</v>
      </c>
      <c r="H29" s="41">
        <v>1</v>
      </c>
      <c r="I29" s="42">
        <v>30</v>
      </c>
      <c r="J29" s="82">
        <f t="shared" si="1"/>
        <v>-30</v>
      </c>
      <c r="K29" s="43"/>
      <c r="L29" s="83">
        <f t="shared" si="5"/>
        <v>2084</v>
      </c>
      <c r="M29" s="53" t="s">
        <v>53</v>
      </c>
      <c r="N29" s="5"/>
      <c r="O29" s="5"/>
      <c r="P29" s="5"/>
      <c r="Q29" s="12">
        <v>45270</v>
      </c>
      <c r="R29" s="36">
        <v>10</v>
      </c>
      <c r="S29" s="65" t="str">
        <v>SAÍDA</v>
      </c>
      <c r="T29" s="44" t="str">
        <v>OUTROS</v>
      </c>
      <c r="U29" s="45" t="str">
        <v>DÍVIDAS</v>
      </c>
      <c r="V29" s="46">
        <v>-60</v>
      </c>
      <c r="W29" s="46">
        <v>2004</v>
      </c>
      <c r="X29" s="46">
        <f t="shared" si="6"/>
        <v>0</v>
      </c>
      <c r="Y29" s="46">
        <f t="shared" si="7"/>
        <v>60</v>
      </c>
      <c r="Z29" s="5"/>
      <c r="AA29" s="29"/>
      <c r="AB29" s="39"/>
      <c r="AC29" s="40"/>
      <c r="AD29" s="53"/>
      <c r="AE29" s="59">
        <f t="shared" si="17"/>
        <v>0</v>
      </c>
      <c r="AF29" s="91"/>
      <c r="AG29" s="53" t="str">
        <f t="shared" si="18"/>
        <v/>
      </c>
      <c r="AJ29" s="5"/>
      <c r="AK29" s="68"/>
      <c r="AL29" s="74"/>
      <c r="AM29" s="69"/>
      <c r="AN29" s="69">
        <f t="shared" si="20"/>
        <v>0</v>
      </c>
      <c r="AO29" s="86"/>
      <c r="AP29" s="69">
        <f t="shared" si="10"/>
        <v>0</v>
      </c>
      <c r="AQ29" s="86">
        <f t="shared" si="11"/>
        <v>0</v>
      </c>
      <c r="AR29" s="69">
        <f t="shared" si="14"/>
        <v>0</v>
      </c>
    </row>
    <row r="30" spans="1:44" x14ac:dyDescent="0.25">
      <c r="A30" s="12">
        <f t="shared" si="0"/>
        <v>45270</v>
      </c>
      <c r="B30" s="16">
        <v>2023</v>
      </c>
      <c r="C30" s="17">
        <v>12</v>
      </c>
      <c r="D30" s="18">
        <v>10</v>
      </c>
      <c r="E30" s="29" t="s">
        <v>31</v>
      </c>
      <c r="F30" s="27" t="s">
        <v>18</v>
      </c>
      <c r="G30" s="28" t="s">
        <v>34</v>
      </c>
      <c r="H30" s="19">
        <v>1</v>
      </c>
      <c r="I30" s="23">
        <v>20</v>
      </c>
      <c r="J30" s="82">
        <f t="shared" si="1"/>
        <v>-20</v>
      </c>
      <c r="K30" s="30"/>
      <c r="L30" s="83">
        <f t="shared" si="5"/>
        <v>2064</v>
      </c>
      <c r="M30" s="23" t="s">
        <v>52</v>
      </c>
      <c r="N30" s="5"/>
      <c r="O30" s="5"/>
      <c r="P30" s="5"/>
      <c r="Q30" s="12">
        <v>45271</v>
      </c>
      <c r="R30" s="36">
        <v>11</v>
      </c>
      <c r="S30" s="65" t="str">
        <v>SAÍDA</v>
      </c>
      <c r="T30" s="37" t="str">
        <v>LAZER</v>
      </c>
      <c r="U30" s="38" t="str">
        <v>COMPUTADOR</v>
      </c>
      <c r="V30" s="31">
        <v>-930</v>
      </c>
      <c r="W30" s="31">
        <v>1074</v>
      </c>
      <c r="X30" s="46">
        <f t="shared" si="6"/>
        <v>0</v>
      </c>
      <c r="Y30" s="46">
        <f t="shared" si="7"/>
        <v>930</v>
      </c>
      <c r="Z30" s="5"/>
      <c r="AA30" s="29"/>
      <c r="AB30" s="94"/>
      <c r="AC30" s="95"/>
      <c r="AD30" s="69"/>
      <c r="AE30" s="60">
        <f t="shared" si="17"/>
        <v>0</v>
      </c>
      <c r="AF30" s="96"/>
      <c r="AG30" s="69" t="str">
        <f t="shared" si="18"/>
        <v/>
      </c>
      <c r="AJ30" s="5"/>
      <c r="AK30" s="67"/>
      <c r="AL30" s="73"/>
      <c r="AM30" s="53"/>
      <c r="AN30" s="53">
        <f t="shared" si="20"/>
        <v>0</v>
      </c>
      <c r="AO30" s="87"/>
      <c r="AP30" s="53">
        <f t="shared" si="10"/>
        <v>0</v>
      </c>
      <c r="AQ30" s="87">
        <f t="shared" si="11"/>
        <v>0</v>
      </c>
      <c r="AR30" s="53">
        <f t="shared" si="14"/>
        <v>0</v>
      </c>
    </row>
    <row r="31" spans="1:44" x14ac:dyDescent="0.25">
      <c r="A31" s="12">
        <f t="shared" si="0"/>
        <v>45270</v>
      </c>
      <c r="B31" s="16">
        <v>2023</v>
      </c>
      <c r="C31" s="17">
        <v>12</v>
      </c>
      <c r="D31" s="18">
        <v>10</v>
      </c>
      <c r="E31" s="29" t="s">
        <v>31</v>
      </c>
      <c r="F31" s="39" t="s">
        <v>37</v>
      </c>
      <c r="G31" s="40" t="s">
        <v>36</v>
      </c>
      <c r="H31" s="41">
        <v>1</v>
      </c>
      <c r="I31" s="42">
        <v>60</v>
      </c>
      <c r="J31" s="82">
        <f t="shared" si="1"/>
        <v>-60</v>
      </c>
      <c r="K31" s="43"/>
      <c r="L31" s="83">
        <f t="shared" si="5"/>
        <v>2004</v>
      </c>
      <c r="M31" s="53" t="s">
        <v>64</v>
      </c>
      <c r="N31" s="5"/>
      <c r="O31" s="5"/>
      <c r="P31" s="5"/>
      <c r="Q31" s="12">
        <v>45280</v>
      </c>
      <c r="R31" s="36">
        <v>20</v>
      </c>
      <c r="S31" s="65" t="str">
        <v>ENTRADA</v>
      </c>
      <c r="T31" s="44" t="str">
        <v>TRABALHO</v>
      </c>
      <c r="U31" s="45" t="str">
        <v>SALÁRIO</v>
      </c>
      <c r="V31" s="46">
        <v>600</v>
      </c>
      <c r="W31" s="46">
        <v>1674</v>
      </c>
      <c r="X31" s="46">
        <f t="shared" si="6"/>
        <v>600</v>
      </c>
      <c r="Y31" s="46">
        <f t="shared" si="7"/>
        <v>0</v>
      </c>
      <c r="Z31" s="5"/>
      <c r="AA31" s="29"/>
      <c r="AB31" s="39"/>
      <c r="AC31" s="40"/>
      <c r="AD31" s="53"/>
      <c r="AE31" s="59">
        <f t="shared" si="17"/>
        <v>0</v>
      </c>
      <c r="AF31" s="91"/>
      <c r="AG31" s="53" t="str">
        <f t="shared" si="18"/>
        <v/>
      </c>
      <c r="AJ31" s="5"/>
      <c r="AK31" s="68"/>
      <c r="AL31" s="74"/>
      <c r="AM31" s="69"/>
      <c r="AN31" s="69">
        <f t="shared" si="20"/>
        <v>0</v>
      </c>
      <c r="AO31" s="86"/>
      <c r="AP31" s="69">
        <f t="shared" si="10"/>
        <v>0</v>
      </c>
      <c r="AQ31" s="86">
        <f t="shared" si="11"/>
        <v>0</v>
      </c>
      <c r="AR31" s="69">
        <f t="shared" si="14"/>
        <v>0</v>
      </c>
    </row>
    <row r="32" spans="1:44" x14ac:dyDescent="0.25">
      <c r="A32" s="12">
        <f t="shared" si="0"/>
        <v>45271</v>
      </c>
      <c r="B32" s="16">
        <v>2023</v>
      </c>
      <c r="C32" s="17">
        <v>12</v>
      </c>
      <c r="D32" s="18">
        <v>11</v>
      </c>
      <c r="E32" s="29" t="s">
        <v>31</v>
      </c>
      <c r="F32" s="27" t="s">
        <v>56</v>
      </c>
      <c r="G32" s="28" t="s">
        <v>10</v>
      </c>
      <c r="H32" s="19">
        <v>1</v>
      </c>
      <c r="I32" s="23">
        <v>930</v>
      </c>
      <c r="J32" s="82">
        <f t="shared" si="1"/>
        <v>-930</v>
      </c>
      <c r="K32" s="30"/>
      <c r="L32" s="83">
        <f t="shared" si="5"/>
        <v>1074</v>
      </c>
      <c r="M32" s="23" t="s">
        <v>52</v>
      </c>
      <c r="N32" s="5"/>
      <c r="O32" s="5"/>
      <c r="P32" s="5"/>
      <c r="Q32" s="12">
        <v>45280</v>
      </c>
      <c r="R32" s="36">
        <v>20</v>
      </c>
      <c r="S32" s="65" t="str">
        <v>SAÍDA</v>
      </c>
      <c r="T32" s="37" t="str">
        <v>CONTAS</v>
      </c>
      <c r="U32" s="38" t="str">
        <v>TAXAÇÃO</v>
      </c>
      <c r="V32" s="31">
        <v>-62.31</v>
      </c>
      <c r="W32" s="31">
        <v>1611.69</v>
      </c>
      <c r="X32" s="46">
        <f t="shared" si="6"/>
        <v>0</v>
      </c>
      <c r="Y32" s="46">
        <f t="shared" si="7"/>
        <v>62.31</v>
      </c>
      <c r="Z32" s="5"/>
      <c r="AA32" s="29"/>
      <c r="AB32" s="94"/>
      <c r="AC32" s="95"/>
      <c r="AD32" s="69"/>
      <c r="AE32" s="60">
        <f t="shared" si="17"/>
        <v>0</v>
      </c>
      <c r="AF32" s="96"/>
      <c r="AG32" s="69" t="str">
        <f t="shared" si="18"/>
        <v/>
      </c>
      <c r="AJ32" s="5"/>
      <c r="AK32" s="67"/>
      <c r="AL32" s="73"/>
      <c r="AM32" s="53"/>
      <c r="AN32" s="53">
        <f t="shared" si="20"/>
        <v>0</v>
      </c>
      <c r="AO32" s="87"/>
      <c r="AP32" s="53">
        <f t="shared" si="10"/>
        <v>0</v>
      </c>
      <c r="AQ32" s="87">
        <f t="shared" si="11"/>
        <v>0</v>
      </c>
      <c r="AR32" s="53">
        <f t="shared" si="14"/>
        <v>0</v>
      </c>
    </row>
    <row r="33" spans="1:44" x14ac:dyDescent="0.25">
      <c r="A33" s="12">
        <f t="shared" si="0"/>
        <v>45280</v>
      </c>
      <c r="B33" s="16">
        <v>2023</v>
      </c>
      <c r="C33" s="17">
        <v>12</v>
      </c>
      <c r="D33" s="18">
        <v>20</v>
      </c>
      <c r="E33" s="29" t="s">
        <v>29</v>
      </c>
      <c r="F33" s="39" t="s">
        <v>4</v>
      </c>
      <c r="G33" s="40" t="s">
        <v>24</v>
      </c>
      <c r="H33" s="41">
        <v>1</v>
      </c>
      <c r="I33" s="42">
        <v>600</v>
      </c>
      <c r="J33" s="82">
        <f t="shared" si="1"/>
        <v>600</v>
      </c>
      <c r="K33" s="43"/>
      <c r="L33" s="83">
        <f t="shared" si="5"/>
        <v>1674</v>
      </c>
      <c r="M33" s="53" t="s">
        <v>53</v>
      </c>
      <c r="N33" s="5"/>
      <c r="O33" s="5"/>
      <c r="P33" s="5"/>
      <c r="Q33" s="12">
        <v>45282</v>
      </c>
      <c r="R33" s="36">
        <v>22</v>
      </c>
      <c r="S33" s="65" t="str">
        <v>ENTRADA</v>
      </c>
      <c r="T33" s="44" t="str">
        <v>CONTAS</v>
      </c>
      <c r="U33" s="45" t="str">
        <v>PRESENTE</v>
      </c>
      <c r="V33" s="46">
        <v>10</v>
      </c>
      <c r="W33" s="46">
        <v>1621.69</v>
      </c>
      <c r="X33" s="46">
        <f t="shared" si="6"/>
        <v>10</v>
      </c>
      <c r="Y33" s="46">
        <f t="shared" si="7"/>
        <v>0</v>
      </c>
      <c r="Z33" s="5"/>
      <c r="AA33" s="29"/>
      <c r="AB33" s="39"/>
      <c r="AC33" s="40"/>
      <c r="AD33" s="53"/>
      <c r="AE33" s="59">
        <f t="shared" si="17"/>
        <v>0</v>
      </c>
      <c r="AF33" s="91"/>
      <c r="AG33" s="53" t="str">
        <f t="shared" si="18"/>
        <v/>
      </c>
      <c r="AJ33" s="5"/>
      <c r="AK33" s="68"/>
      <c r="AL33" s="74"/>
      <c r="AM33" s="69"/>
      <c r="AN33" s="69">
        <f t="shared" si="20"/>
        <v>0</v>
      </c>
      <c r="AO33" s="86"/>
      <c r="AP33" s="69">
        <f t="shared" si="10"/>
        <v>0</v>
      </c>
      <c r="AQ33" s="86">
        <f t="shared" si="11"/>
        <v>0</v>
      </c>
      <c r="AR33" s="69">
        <f t="shared" si="14"/>
        <v>0</v>
      </c>
    </row>
    <row r="34" spans="1:44" x14ac:dyDescent="0.25">
      <c r="A34" s="12">
        <f t="shared" si="0"/>
        <v>45280</v>
      </c>
      <c r="B34" s="16">
        <v>2023</v>
      </c>
      <c r="C34" s="17">
        <v>12</v>
      </c>
      <c r="D34" s="18">
        <v>20</v>
      </c>
      <c r="E34" s="29" t="s">
        <v>31</v>
      </c>
      <c r="F34" s="27" t="s">
        <v>18</v>
      </c>
      <c r="G34" s="28" t="s">
        <v>44</v>
      </c>
      <c r="H34" s="19">
        <v>1</v>
      </c>
      <c r="I34" s="23">
        <v>62.31</v>
      </c>
      <c r="J34" s="82">
        <f t="shared" si="1"/>
        <v>-62.31</v>
      </c>
      <c r="K34" s="30"/>
      <c r="L34" s="83">
        <f t="shared" si="5"/>
        <v>1611.69</v>
      </c>
      <c r="M34" s="23" t="s">
        <v>52</v>
      </c>
      <c r="N34" s="5"/>
      <c r="O34" s="5"/>
      <c r="P34" s="5"/>
      <c r="Q34" s="12">
        <v>45287</v>
      </c>
      <c r="R34" s="36">
        <v>27</v>
      </c>
      <c r="S34" s="65" t="str">
        <v>ENTRADA</v>
      </c>
      <c r="T34" s="37" t="str">
        <v>TRABALHO</v>
      </c>
      <c r="U34" s="38" t="str">
        <v>SALÁRIO</v>
      </c>
      <c r="V34" s="31">
        <v>700</v>
      </c>
      <c r="W34" s="31">
        <v>2321.69</v>
      </c>
      <c r="X34" s="46">
        <f t="shared" si="6"/>
        <v>700</v>
      </c>
      <c r="Y34" s="46">
        <f t="shared" si="7"/>
        <v>0</v>
      </c>
      <c r="Z34" s="5"/>
      <c r="AA34" s="29"/>
      <c r="AB34" s="94"/>
      <c r="AC34" s="95"/>
      <c r="AD34" s="69"/>
      <c r="AE34" s="60">
        <f t="shared" si="17"/>
        <v>0</v>
      </c>
      <c r="AF34" s="96"/>
      <c r="AG34" s="69" t="str">
        <f t="shared" si="18"/>
        <v/>
      </c>
      <c r="AJ34" s="5"/>
      <c r="AK34" s="67"/>
      <c r="AL34" s="73"/>
      <c r="AM34" s="53"/>
      <c r="AN34" s="53">
        <f t="shared" si="20"/>
        <v>0</v>
      </c>
      <c r="AO34" s="87"/>
      <c r="AP34" s="53">
        <f t="shared" si="10"/>
        <v>0</v>
      </c>
      <c r="AQ34" s="87">
        <f t="shared" si="11"/>
        <v>0</v>
      </c>
      <c r="AR34" s="53">
        <f t="shared" si="14"/>
        <v>0</v>
      </c>
    </row>
    <row r="35" spans="1:44" x14ac:dyDescent="0.25">
      <c r="A35" s="12">
        <f t="shared" si="0"/>
        <v>45282</v>
      </c>
      <c r="B35" s="16">
        <v>2023</v>
      </c>
      <c r="C35" s="17">
        <v>12</v>
      </c>
      <c r="D35" s="18">
        <v>22</v>
      </c>
      <c r="E35" s="29" t="s">
        <v>29</v>
      </c>
      <c r="F35" s="39" t="s">
        <v>18</v>
      </c>
      <c r="G35" s="40" t="s">
        <v>34</v>
      </c>
      <c r="H35" s="41">
        <v>1</v>
      </c>
      <c r="I35" s="42">
        <v>10</v>
      </c>
      <c r="J35" s="82">
        <f t="shared" si="1"/>
        <v>10</v>
      </c>
      <c r="K35" s="43"/>
      <c r="L35" s="83">
        <f t="shared" si="5"/>
        <v>1621.69</v>
      </c>
      <c r="M35" s="53" t="s">
        <v>64</v>
      </c>
      <c r="N35" s="5"/>
      <c r="O35" s="5"/>
      <c r="P35" s="5"/>
      <c r="Q35" s="12">
        <v>45290</v>
      </c>
      <c r="R35" s="36">
        <v>30</v>
      </c>
      <c r="S35" s="65" t="str">
        <v>SAÍDA</v>
      </c>
      <c r="T35" s="44" t="str">
        <v>LAZER</v>
      </c>
      <c r="U35" s="45" t="str">
        <v>JOGOS</v>
      </c>
      <c r="V35" s="46">
        <v>-20</v>
      </c>
      <c r="W35" s="46">
        <v>2301.69</v>
      </c>
      <c r="X35" s="46">
        <f t="shared" si="6"/>
        <v>0</v>
      </c>
      <c r="Y35" s="46">
        <f t="shared" si="7"/>
        <v>20</v>
      </c>
      <c r="Z35" s="5"/>
      <c r="AA35" s="29"/>
      <c r="AB35" s="39"/>
      <c r="AC35" s="40"/>
      <c r="AD35" s="53"/>
      <c r="AE35" s="59">
        <f t="shared" si="17"/>
        <v>0</v>
      </c>
      <c r="AF35" s="91"/>
      <c r="AG35" s="53" t="str">
        <f t="shared" si="18"/>
        <v/>
      </c>
      <c r="AJ35" s="5"/>
      <c r="AK35" s="68"/>
      <c r="AL35" s="74"/>
      <c r="AM35" s="69"/>
      <c r="AN35" s="69">
        <f t="shared" si="20"/>
        <v>0</v>
      </c>
      <c r="AO35" s="86"/>
      <c r="AP35" s="69">
        <f t="shared" si="10"/>
        <v>0</v>
      </c>
      <c r="AQ35" s="86">
        <f t="shared" si="11"/>
        <v>0</v>
      </c>
      <c r="AR35" s="69">
        <f t="shared" si="14"/>
        <v>0</v>
      </c>
    </row>
    <row r="36" spans="1:44" x14ac:dyDescent="0.25">
      <c r="A36" s="12">
        <f t="shared" si="0"/>
        <v>45287</v>
      </c>
      <c r="B36" s="16">
        <v>2023</v>
      </c>
      <c r="C36" s="17">
        <v>12</v>
      </c>
      <c r="D36" s="18">
        <v>27</v>
      </c>
      <c r="E36" s="29" t="s">
        <v>29</v>
      </c>
      <c r="F36" s="27" t="s">
        <v>4</v>
      </c>
      <c r="G36" s="28" t="s">
        <v>24</v>
      </c>
      <c r="H36" s="19">
        <v>1</v>
      </c>
      <c r="I36" s="23">
        <v>700</v>
      </c>
      <c r="J36" s="82">
        <f t="shared" si="1"/>
        <v>700</v>
      </c>
      <c r="K36" s="30"/>
      <c r="L36" s="83">
        <f t="shared" si="5"/>
        <v>2321.69</v>
      </c>
      <c r="M36" s="23" t="s">
        <v>52</v>
      </c>
      <c r="N36" s="5"/>
      <c r="O36" s="5"/>
      <c r="P36" s="5"/>
      <c r="Q36" s="12"/>
      <c r="R36" s="36"/>
      <c r="S36" s="65"/>
      <c r="T36" s="37"/>
      <c r="U36" s="38"/>
      <c r="V36" s="31"/>
      <c r="W36" s="31"/>
      <c r="X36" s="46">
        <f t="shared" si="6"/>
        <v>0</v>
      </c>
      <c r="Y36" s="46">
        <f t="shared" si="7"/>
        <v>0</v>
      </c>
      <c r="Z36" s="5"/>
      <c r="AA36" s="29"/>
      <c r="AB36" s="94"/>
      <c r="AC36" s="95"/>
      <c r="AD36" s="69"/>
      <c r="AE36" s="60">
        <f t="shared" si="17"/>
        <v>0</v>
      </c>
      <c r="AF36" s="96"/>
      <c r="AG36" s="69" t="str">
        <f t="shared" si="18"/>
        <v/>
      </c>
      <c r="AJ36" s="5"/>
      <c r="AK36" s="67"/>
      <c r="AL36" s="73"/>
      <c r="AM36" s="53"/>
      <c r="AN36" s="53">
        <f t="shared" si="20"/>
        <v>0</v>
      </c>
      <c r="AO36" s="87"/>
      <c r="AP36" s="53">
        <f t="shared" si="10"/>
        <v>0</v>
      </c>
      <c r="AQ36" s="87">
        <f t="shared" si="11"/>
        <v>0</v>
      </c>
      <c r="AR36" s="53">
        <f t="shared" si="14"/>
        <v>0</v>
      </c>
    </row>
    <row r="37" spans="1:44" x14ac:dyDescent="0.25">
      <c r="A37" s="12">
        <f t="shared" si="0"/>
        <v>45290</v>
      </c>
      <c r="B37" s="16">
        <v>2023</v>
      </c>
      <c r="C37" s="17">
        <v>12</v>
      </c>
      <c r="D37" s="18">
        <v>30</v>
      </c>
      <c r="E37" s="29" t="s">
        <v>31</v>
      </c>
      <c r="F37" s="39" t="s">
        <v>56</v>
      </c>
      <c r="G37" s="40" t="s">
        <v>47</v>
      </c>
      <c r="H37" s="41">
        <v>1</v>
      </c>
      <c r="I37" s="42">
        <v>20</v>
      </c>
      <c r="J37" s="82">
        <f t="shared" si="1"/>
        <v>-20</v>
      </c>
      <c r="K37" s="43"/>
      <c r="L37" s="83">
        <f t="shared" si="5"/>
        <v>2301.69</v>
      </c>
      <c r="M37" s="53" t="s">
        <v>64</v>
      </c>
      <c r="Q37" s="12"/>
      <c r="R37" s="36"/>
      <c r="S37" s="65"/>
      <c r="T37" s="44"/>
      <c r="U37" s="45"/>
      <c r="V37" s="46"/>
      <c r="W37" s="46"/>
      <c r="X37" s="46">
        <f t="shared" si="6"/>
        <v>0</v>
      </c>
      <c r="Y37" s="46">
        <f t="shared" si="7"/>
        <v>0</v>
      </c>
      <c r="AA37" s="29"/>
      <c r="AB37" s="39"/>
      <c r="AC37" s="40"/>
      <c r="AD37" s="53"/>
      <c r="AE37" s="59">
        <f t="shared" si="17"/>
        <v>0</v>
      </c>
      <c r="AF37" s="91"/>
      <c r="AG37" s="53" t="str">
        <f t="shared" si="18"/>
        <v/>
      </c>
      <c r="AK37" s="68"/>
      <c r="AL37" s="74"/>
      <c r="AM37" s="69"/>
      <c r="AN37" s="69">
        <f t="shared" si="20"/>
        <v>0</v>
      </c>
      <c r="AO37" s="86"/>
      <c r="AP37" s="69">
        <f t="shared" si="10"/>
        <v>0</v>
      </c>
      <c r="AQ37" s="86">
        <f t="shared" si="11"/>
        <v>0</v>
      </c>
      <c r="AR37" s="69">
        <f t="shared" si="14"/>
        <v>0</v>
      </c>
    </row>
    <row r="38" spans="1:44" x14ac:dyDescent="0.25">
      <c r="A38" s="12" t="str">
        <f t="shared" si="0"/>
        <v/>
      </c>
      <c r="B38" s="16"/>
      <c r="C38" s="17"/>
      <c r="D38" s="18"/>
      <c r="E38" s="29"/>
      <c r="F38" s="27"/>
      <c r="G38" s="28"/>
      <c r="H38" s="19"/>
      <c r="I38" s="23"/>
      <c r="J38" s="82">
        <f t="shared" si="1"/>
        <v>0</v>
      </c>
      <c r="K38" s="30"/>
      <c r="L38" s="83" t="str">
        <f t="shared" si="5"/>
        <v/>
      </c>
      <c r="M38" s="23"/>
      <c r="Q38" s="12"/>
      <c r="R38" s="36"/>
      <c r="S38" s="65"/>
      <c r="T38" s="37"/>
      <c r="U38" s="38"/>
      <c r="V38" s="31"/>
      <c r="W38" s="31"/>
      <c r="X38" s="46">
        <f t="shared" si="6"/>
        <v>0</v>
      </c>
      <c r="Y38" s="46">
        <f t="shared" si="7"/>
        <v>0</v>
      </c>
      <c r="AA38" s="29"/>
      <c r="AB38" s="94"/>
      <c r="AC38" s="95"/>
      <c r="AD38" s="69"/>
      <c r="AE38" s="60">
        <f t="shared" si="17"/>
        <v>0</v>
      </c>
      <c r="AF38" s="96"/>
      <c r="AG38" s="69" t="str">
        <f t="shared" si="18"/>
        <v/>
      </c>
      <c r="AK38" s="67"/>
      <c r="AL38" s="73"/>
      <c r="AM38" s="53"/>
      <c r="AN38" s="53">
        <f t="shared" si="20"/>
        <v>0</v>
      </c>
      <c r="AO38" s="87"/>
      <c r="AP38" s="53">
        <f t="shared" si="10"/>
        <v>0</v>
      </c>
      <c r="AQ38" s="87">
        <f t="shared" si="11"/>
        <v>0</v>
      </c>
      <c r="AR38" s="53">
        <f t="shared" si="14"/>
        <v>0</v>
      </c>
    </row>
    <row r="39" spans="1:44" x14ac:dyDescent="0.25">
      <c r="A39" s="12" t="str">
        <f t="shared" si="0"/>
        <v/>
      </c>
      <c r="B39" s="16"/>
      <c r="C39" s="17"/>
      <c r="D39" s="18"/>
      <c r="E39" s="29"/>
      <c r="F39" s="39"/>
      <c r="G39" s="40"/>
      <c r="H39" s="41"/>
      <c r="I39" s="42"/>
      <c r="J39" s="82">
        <f t="shared" si="1"/>
        <v>0</v>
      </c>
      <c r="K39" s="43"/>
      <c r="L39" s="83" t="str">
        <f t="shared" si="5"/>
        <v/>
      </c>
      <c r="M39" s="53"/>
      <c r="Q39" s="12"/>
      <c r="R39" s="36"/>
      <c r="S39" s="65"/>
      <c r="T39" s="44"/>
      <c r="U39" s="45"/>
      <c r="V39" s="46"/>
      <c r="W39" s="46"/>
      <c r="X39" s="46">
        <f t="shared" si="6"/>
        <v>0</v>
      </c>
      <c r="Y39" s="46">
        <f t="shared" si="7"/>
        <v>0</v>
      </c>
      <c r="AA39" s="29"/>
      <c r="AB39" s="39"/>
      <c r="AC39" s="40"/>
      <c r="AD39" s="53"/>
      <c r="AE39" s="59">
        <f t="shared" si="17"/>
        <v>0</v>
      </c>
      <c r="AF39" s="91"/>
      <c r="AG39" s="53" t="str">
        <f t="shared" si="18"/>
        <v/>
      </c>
      <c r="AK39" s="68"/>
      <c r="AL39" s="74"/>
      <c r="AM39" s="69"/>
      <c r="AN39" s="69">
        <f t="shared" si="20"/>
        <v>0</v>
      </c>
      <c r="AO39" s="86"/>
      <c r="AP39" s="69">
        <f t="shared" si="10"/>
        <v>0</v>
      </c>
      <c r="AQ39" s="86">
        <f t="shared" si="11"/>
        <v>0</v>
      </c>
      <c r="AR39" s="69">
        <f t="shared" si="14"/>
        <v>0</v>
      </c>
    </row>
    <row r="40" spans="1:44" x14ac:dyDescent="0.25">
      <c r="A40" s="12" t="str">
        <f t="shared" si="0"/>
        <v/>
      </c>
      <c r="B40" s="16"/>
      <c r="C40" s="17"/>
      <c r="D40" s="18"/>
      <c r="E40" s="29"/>
      <c r="F40" s="27"/>
      <c r="G40" s="28"/>
      <c r="H40" s="19"/>
      <c r="I40" s="23"/>
      <c r="J40" s="82">
        <f t="shared" si="1"/>
        <v>0</v>
      </c>
      <c r="K40" s="30"/>
      <c r="L40" s="83" t="str">
        <f t="shared" si="5"/>
        <v/>
      </c>
      <c r="M40" s="23"/>
      <c r="Q40" s="12"/>
      <c r="R40" s="36"/>
      <c r="S40" s="65"/>
      <c r="T40" s="37"/>
      <c r="U40" s="38"/>
      <c r="V40" s="31"/>
      <c r="W40" s="31"/>
      <c r="X40" s="46">
        <f t="shared" si="6"/>
        <v>0</v>
      </c>
      <c r="Y40" s="46">
        <f t="shared" si="7"/>
        <v>0</v>
      </c>
      <c r="AA40" s="29"/>
      <c r="AB40" s="94"/>
      <c r="AC40" s="95"/>
      <c r="AD40" s="69"/>
      <c r="AE40" s="60">
        <f t="shared" si="17"/>
        <v>0</v>
      </c>
      <c r="AF40" s="96"/>
      <c r="AG40" s="69" t="str">
        <f t="shared" si="18"/>
        <v/>
      </c>
      <c r="AK40" s="67"/>
      <c r="AL40" s="73"/>
      <c r="AM40" s="53"/>
      <c r="AN40" s="53">
        <f t="shared" si="20"/>
        <v>0</v>
      </c>
      <c r="AO40" s="87"/>
      <c r="AP40" s="53">
        <f t="shared" si="10"/>
        <v>0</v>
      </c>
      <c r="AQ40" s="87">
        <f t="shared" si="11"/>
        <v>0</v>
      </c>
      <c r="AR40" s="53">
        <f t="shared" si="14"/>
        <v>0</v>
      </c>
    </row>
    <row r="41" spans="1:44" x14ac:dyDescent="0.25">
      <c r="A41" s="12" t="str">
        <f t="shared" si="0"/>
        <v/>
      </c>
      <c r="B41" s="16"/>
      <c r="C41" s="17"/>
      <c r="D41" s="18"/>
      <c r="E41" s="29"/>
      <c r="F41" s="39"/>
      <c r="G41" s="40"/>
      <c r="H41" s="41"/>
      <c r="I41" s="42"/>
      <c r="J41" s="82">
        <f t="shared" si="1"/>
        <v>0</v>
      </c>
      <c r="K41" s="43"/>
      <c r="L41" s="83" t="str">
        <f t="shared" si="5"/>
        <v/>
      </c>
      <c r="M41" s="53"/>
      <c r="Q41" s="12"/>
      <c r="R41" s="36"/>
      <c r="S41" s="65"/>
      <c r="T41" s="44"/>
      <c r="U41" s="45"/>
      <c r="V41" s="46"/>
      <c r="W41" s="46"/>
      <c r="X41" s="46">
        <f t="shared" si="6"/>
        <v>0</v>
      </c>
      <c r="Y41" s="46">
        <f t="shared" si="7"/>
        <v>0</v>
      </c>
      <c r="AA41" s="29"/>
      <c r="AB41" s="39"/>
      <c r="AC41" s="40"/>
      <c r="AD41" s="53"/>
      <c r="AE41" s="59">
        <f t="shared" si="17"/>
        <v>0</v>
      </c>
      <c r="AF41" s="91"/>
      <c r="AG41" s="53" t="str">
        <f t="shared" si="18"/>
        <v/>
      </c>
      <c r="AK41" s="68"/>
      <c r="AL41" s="74"/>
      <c r="AM41" s="69"/>
      <c r="AN41" s="69">
        <f t="shared" si="20"/>
        <v>0</v>
      </c>
      <c r="AO41" s="86"/>
      <c r="AP41" s="69">
        <f t="shared" si="10"/>
        <v>0</v>
      </c>
      <c r="AQ41" s="86">
        <f t="shared" si="11"/>
        <v>0</v>
      </c>
      <c r="AR41" s="69">
        <f t="shared" si="14"/>
        <v>0</v>
      </c>
    </row>
    <row r="42" spans="1:44" x14ac:dyDescent="0.25">
      <c r="A42" s="12" t="str">
        <f t="shared" si="0"/>
        <v/>
      </c>
      <c r="B42" s="16"/>
      <c r="C42" s="17"/>
      <c r="D42" s="18"/>
      <c r="E42" s="29"/>
      <c r="F42" s="27"/>
      <c r="G42" s="28"/>
      <c r="H42" s="19"/>
      <c r="I42" s="23"/>
      <c r="J42" s="82">
        <f t="shared" si="1"/>
        <v>0</v>
      </c>
      <c r="K42" s="30"/>
      <c r="L42" s="83" t="str">
        <f t="shared" si="5"/>
        <v/>
      </c>
      <c r="M42" s="23"/>
      <c r="Q42" s="12"/>
      <c r="R42" s="36"/>
      <c r="S42" s="65"/>
      <c r="T42" s="44"/>
      <c r="U42" s="45"/>
      <c r="V42" s="46"/>
      <c r="W42" s="46"/>
      <c r="X42" s="46">
        <f t="shared" si="6"/>
        <v>0</v>
      </c>
      <c r="Y42" s="46">
        <f t="shared" si="7"/>
        <v>0</v>
      </c>
      <c r="AA42" s="29"/>
      <c r="AB42" s="94"/>
      <c r="AC42" s="95"/>
      <c r="AD42" s="69"/>
      <c r="AE42" s="60">
        <f t="shared" si="17"/>
        <v>0</v>
      </c>
      <c r="AF42" s="96"/>
      <c r="AG42" s="69" t="str">
        <f t="shared" si="18"/>
        <v/>
      </c>
      <c r="AK42" s="67"/>
      <c r="AL42" s="73"/>
      <c r="AM42" s="53"/>
      <c r="AN42" s="53">
        <f t="shared" si="20"/>
        <v>0</v>
      </c>
      <c r="AO42" s="87"/>
      <c r="AP42" s="53">
        <f t="shared" si="10"/>
        <v>0</v>
      </c>
      <c r="AQ42" s="87">
        <f t="shared" si="11"/>
        <v>0</v>
      </c>
      <c r="AR42" s="53">
        <f t="shared" si="14"/>
        <v>0</v>
      </c>
    </row>
    <row r="43" spans="1:44" x14ac:dyDescent="0.25">
      <c r="A43" s="12" t="str">
        <f t="shared" si="0"/>
        <v/>
      </c>
      <c r="B43" s="16"/>
      <c r="C43" s="17"/>
      <c r="D43" s="18"/>
      <c r="E43" s="29"/>
      <c r="F43" s="39"/>
      <c r="G43" s="40"/>
      <c r="H43" s="41"/>
      <c r="I43" s="42"/>
      <c r="J43" s="82">
        <f t="shared" si="1"/>
        <v>0</v>
      </c>
      <c r="K43" s="43"/>
      <c r="L43" s="83" t="str">
        <f t="shared" si="5"/>
        <v/>
      </c>
      <c r="M43" s="53"/>
      <c r="Q43" s="12"/>
      <c r="R43" s="36"/>
      <c r="S43" s="65"/>
      <c r="T43" s="37"/>
      <c r="U43" s="38"/>
      <c r="V43" s="31"/>
      <c r="W43" s="31"/>
      <c r="X43" s="46">
        <f t="shared" si="6"/>
        <v>0</v>
      </c>
      <c r="Y43" s="46">
        <f t="shared" si="7"/>
        <v>0</v>
      </c>
      <c r="AA43" s="29"/>
      <c r="AB43" s="39"/>
      <c r="AC43" s="40"/>
      <c r="AD43" s="53"/>
      <c r="AE43" s="59">
        <f t="shared" si="17"/>
        <v>0</v>
      </c>
      <c r="AF43" s="91"/>
      <c r="AG43" s="53" t="str">
        <f t="shared" si="18"/>
        <v/>
      </c>
      <c r="AK43" s="68"/>
      <c r="AL43" s="74"/>
      <c r="AM43" s="69"/>
      <c r="AN43" s="69">
        <f t="shared" si="20"/>
        <v>0</v>
      </c>
      <c r="AO43" s="86"/>
      <c r="AP43" s="69">
        <f t="shared" si="10"/>
        <v>0</v>
      </c>
      <c r="AQ43" s="86">
        <f t="shared" si="11"/>
        <v>0</v>
      </c>
      <c r="AR43" s="69">
        <f t="shared" si="14"/>
        <v>0</v>
      </c>
    </row>
    <row r="44" spans="1:44" x14ac:dyDescent="0.25">
      <c r="A44" s="12" t="str">
        <f t="shared" si="0"/>
        <v/>
      </c>
      <c r="B44" s="16"/>
      <c r="C44" s="17"/>
      <c r="D44" s="18"/>
      <c r="E44" s="29"/>
      <c r="F44" s="27"/>
      <c r="G44" s="28"/>
      <c r="H44" s="19"/>
      <c r="I44" s="23"/>
      <c r="J44" s="82">
        <f t="shared" si="1"/>
        <v>0</v>
      </c>
      <c r="K44" s="30"/>
      <c r="L44" s="83" t="str">
        <f t="shared" si="5"/>
        <v/>
      </c>
      <c r="M44" s="23"/>
      <c r="Q44" s="12"/>
      <c r="R44" s="36"/>
      <c r="S44" s="65"/>
      <c r="T44" s="44"/>
      <c r="U44" s="45"/>
      <c r="V44" s="46"/>
      <c r="W44" s="46"/>
      <c r="X44" s="46">
        <f t="shared" si="6"/>
        <v>0</v>
      </c>
      <c r="Y44" s="46">
        <f t="shared" si="7"/>
        <v>0</v>
      </c>
      <c r="AA44" s="29"/>
      <c r="AB44" s="94"/>
      <c r="AC44" s="95"/>
      <c r="AD44" s="69"/>
      <c r="AE44" s="60">
        <f t="shared" si="17"/>
        <v>0</v>
      </c>
      <c r="AF44" s="96"/>
      <c r="AG44" s="69" t="str">
        <f t="shared" si="18"/>
        <v/>
      </c>
      <c r="AK44" s="67"/>
      <c r="AL44" s="73"/>
      <c r="AM44" s="53"/>
      <c r="AN44" s="53">
        <f t="shared" si="20"/>
        <v>0</v>
      </c>
      <c r="AO44" s="87"/>
      <c r="AP44" s="53">
        <f t="shared" si="10"/>
        <v>0</v>
      </c>
      <c r="AQ44" s="87">
        <f t="shared" si="11"/>
        <v>0</v>
      </c>
      <c r="AR44" s="53">
        <f t="shared" si="14"/>
        <v>0</v>
      </c>
    </row>
    <row r="45" spans="1:44" x14ac:dyDescent="0.25">
      <c r="A45" s="12" t="str">
        <f t="shared" si="0"/>
        <v/>
      </c>
      <c r="B45" s="16"/>
      <c r="C45" s="17"/>
      <c r="D45" s="18"/>
      <c r="E45" s="29"/>
      <c r="F45" s="39"/>
      <c r="G45" s="40"/>
      <c r="H45" s="41"/>
      <c r="I45" s="42"/>
      <c r="J45" s="82">
        <f t="shared" si="1"/>
        <v>0</v>
      </c>
      <c r="K45" s="43"/>
      <c r="L45" s="83" t="str">
        <f t="shared" si="5"/>
        <v/>
      </c>
      <c r="M45" s="53"/>
      <c r="Q45" s="12"/>
      <c r="R45" s="36"/>
      <c r="S45" s="65"/>
      <c r="T45" s="37"/>
      <c r="U45" s="38"/>
      <c r="V45" s="31"/>
      <c r="W45" s="31"/>
      <c r="X45" s="46">
        <f t="shared" si="6"/>
        <v>0</v>
      </c>
      <c r="Y45" s="46">
        <f t="shared" si="7"/>
        <v>0</v>
      </c>
      <c r="AA45" s="29"/>
      <c r="AB45" s="39"/>
      <c r="AC45" s="40"/>
      <c r="AD45" s="53"/>
      <c r="AE45" s="59">
        <f t="shared" si="17"/>
        <v>0</v>
      </c>
      <c r="AF45" s="91"/>
      <c r="AG45" s="53" t="str">
        <f t="shared" si="18"/>
        <v/>
      </c>
      <c r="AK45" s="68"/>
      <c r="AL45" s="74"/>
      <c r="AM45" s="69"/>
      <c r="AN45" s="69">
        <f t="shared" si="20"/>
        <v>0</v>
      </c>
      <c r="AO45" s="86"/>
      <c r="AP45" s="69">
        <f t="shared" si="10"/>
        <v>0</v>
      </c>
      <c r="AQ45" s="86">
        <f t="shared" si="11"/>
        <v>0</v>
      </c>
      <c r="AR45" s="69">
        <f t="shared" si="14"/>
        <v>0</v>
      </c>
    </row>
    <row r="46" spans="1:44" x14ac:dyDescent="0.25">
      <c r="A46" s="12" t="str">
        <f t="shared" si="0"/>
        <v/>
      </c>
      <c r="B46" s="16"/>
      <c r="C46" s="17"/>
      <c r="D46" s="18"/>
      <c r="E46" s="29"/>
      <c r="F46" s="27"/>
      <c r="G46" s="28"/>
      <c r="H46" s="19"/>
      <c r="I46" s="23"/>
      <c r="J46" s="82">
        <f t="shared" si="1"/>
        <v>0</v>
      </c>
      <c r="K46" s="30"/>
      <c r="L46" s="83" t="str">
        <f t="shared" si="5"/>
        <v/>
      </c>
      <c r="M46" s="23"/>
      <c r="Q46" s="12"/>
      <c r="R46" s="36"/>
      <c r="S46" s="65"/>
      <c r="T46" s="44"/>
      <c r="U46" s="45"/>
      <c r="V46" s="46"/>
      <c r="W46" s="46"/>
      <c r="X46" s="46">
        <f t="shared" si="6"/>
        <v>0</v>
      </c>
      <c r="Y46" s="46">
        <f t="shared" si="7"/>
        <v>0</v>
      </c>
      <c r="AA46" s="29"/>
      <c r="AB46" s="94"/>
      <c r="AC46" s="95"/>
      <c r="AD46" s="69"/>
      <c r="AE46" s="60">
        <f t="shared" si="17"/>
        <v>0</v>
      </c>
      <c r="AF46" s="96"/>
      <c r="AG46" s="69" t="str">
        <f t="shared" si="18"/>
        <v/>
      </c>
      <c r="AK46" s="67"/>
      <c r="AL46" s="73"/>
      <c r="AM46" s="53"/>
      <c r="AN46" s="53">
        <f t="shared" si="20"/>
        <v>0</v>
      </c>
      <c r="AO46" s="87"/>
      <c r="AP46" s="53">
        <f t="shared" si="10"/>
        <v>0</v>
      </c>
      <c r="AQ46" s="87">
        <f t="shared" si="11"/>
        <v>0</v>
      </c>
      <c r="AR46" s="53">
        <f t="shared" si="14"/>
        <v>0</v>
      </c>
    </row>
    <row r="47" spans="1:44" x14ac:dyDescent="0.25">
      <c r="A47" s="12" t="str">
        <f t="shared" si="0"/>
        <v/>
      </c>
      <c r="B47" s="16"/>
      <c r="C47" s="17"/>
      <c r="D47" s="18"/>
      <c r="E47" s="29"/>
      <c r="F47" s="39"/>
      <c r="G47" s="40"/>
      <c r="H47" s="41"/>
      <c r="I47" s="42"/>
      <c r="J47" s="82">
        <f t="shared" si="1"/>
        <v>0</v>
      </c>
      <c r="K47" s="43"/>
      <c r="L47" s="83" t="str">
        <f t="shared" si="5"/>
        <v/>
      </c>
      <c r="M47" s="53"/>
      <c r="Q47" s="12"/>
      <c r="R47" s="36"/>
      <c r="S47" s="65"/>
      <c r="T47" s="37"/>
      <c r="U47" s="38"/>
      <c r="V47" s="31"/>
      <c r="W47" s="31"/>
      <c r="X47" s="46">
        <f t="shared" si="6"/>
        <v>0</v>
      </c>
      <c r="Y47" s="46">
        <f t="shared" si="7"/>
        <v>0</v>
      </c>
      <c r="AA47" s="29"/>
      <c r="AB47" s="39"/>
      <c r="AC47" s="40"/>
      <c r="AD47" s="53"/>
      <c r="AE47" s="59">
        <f t="shared" si="17"/>
        <v>0</v>
      </c>
      <c r="AF47" s="91"/>
      <c r="AG47" s="53" t="str">
        <f t="shared" si="18"/>
        <v/>
      </c>
      <c r="AK47" s="68"/>
      <c r="AL47" s="74"/>
      <c r="AM47" s="69"/>
      <c r="AN47" s="69">
        <f t="shared" si="20"/>
        <v>0</v>
      </c>
      <c r="AO47" s="86"/>
      <c r="AP47" s="69">
        <f t="shared" si="10"/>
        <v>0</v>
      </c>
      <c r="AQ47" s="86">
        <f t="shared" si="11"/>
        <v>0</v>
      </c>
      <c r="AR47" s="69">
        <f t="shared" si="14"/>
        <v>0</v>
      </c>
    </row>
    <row r="48" spans="1:44" x14ac:dyDescent="0.25">
      <c r="A48" s="12" t="str">
        <f t="shared" si="0"/>
        <v/>
      </c>
      <c r="B48" s="16"/>
      <c r="C48" s="17"/>
      <c r="D48" s="18"/>
      <c r="E48" s="29"/>
      <c r="F48" s="27"/>
      <c r="G48" s="28"/>
      <c r="H48" s="19"/>
      <c r="I48" s="23"/>
      <c r="J48" s="82">
        <f t="shared" si="1"/>
        <v>0</v>
      </c>
      <c r="K48" s="30"/>
      <c r="L48" s="83" t="str">
        <f t="shared" si="5"/>
        <v/>
      </c>
      <c r="M48" s="23"/>
      <c r="Q48" s="12"/>
      <c r="R48" s="36"/>
      <c r="S48" s="65"/>
      <c r="T48" s="44"/>
      <c r="U48" s="45"/>
      <c r="V48" s="46"/>
      <c r="W48" s="46"/>
      <c r="X48" s="46">
        <f t="shared" si="6"/>
        <v>0</v>
      </c>
      <c r="Y48" s="46">
        <f t="shared" si="7"/>
        <v>0</v>
      </c>
      <c r="AA48" s="29"/>
      <c r="AB48" s="94"/>
      <c r="AC48" s="95"/>
      <c r="AD48" s="69"/>
      <c r="AE48" s="60">
        <f t="shared" si="17"/>
        <v>0</v>
      </c>
      <c r="AF48" s="96"/>
      <c r="AG48" s="69" t="str">
        <f t="shared" si="18"/>
        <v/>
      </c>
      <c r="AK48" s="67"/>
      <c r="AL48" s="73"/>
      <c r="AM48" s="53"/>
      <c r="AN48" s="53">
        <f t="shared" si="20"/>
        <v>0</v>
      </c>
      <c r="AO48" s="87"/>
      <c r="AP48" s="53">
        <f t="shared" si="10"/>
        <v>0</v>
      </c>
      <c r="AQ48" s="87">
        <f t="shared" si="11"/>
        <v>0</v>
      </c>
      <c r="AR48" s="53">
        <f t="shared" si="14"/>
        <v>0</v>
      </c>
    </row>
    <row r="49" spans="1:44" x14ac:dyDescent="0.25">
      <c r="A49" s="12" t="str">
        <f t="shared" si="0"/>
        <v/>
      </c>
      <c r="B49" s="16"/>
      <c r="C49" s="17"/>
      <c r="D49" s="18"/>
      <c r="E49" s="29"/>
      <c r="F49" s="39"/>
      <c r="G49" s="40"/>
      <c r="H49" s="41"/>
      <c r="I49" s="42"/>
      <c r="J49" s="82">
        <f t="shared" si="1"/>
        <v>0</v>
      </c>
      <c r="K49" s="43"/>
      <c r="L49" s="83" t="str">
        <f t="shared" si="5"/>
        <v/>
      </c>
      <c r="M49" s="53"/>
      <c r="Q49" s="12"/>
      <c r="R49" s="36"/>
      <c r="S49" s="65"/>
      <c r="T49" s="37"/>
      <c r="U49" s="38"/>
      <c r="V49" s="31"/>
      <c r="W49" s="31"/>
      <c r="X49" s="46">
        <f t="shared" si="6"/>
        <v>0</v>
      </c>
      <c r="Y49" s="46">
        <f t="shared" si="7"/>
        <v>0</v>
      </c>
      <c r="AA49" s="29"/>
      <c r="AB49" s="39"/>
      <c r="AC49" s="40"/>
      <c r="AD49" s="53"/>
      <c r="AE49" s="59">
        <f t="shared" si="17"/>
        <v>0</v>
      </c>
      <c r="AF49" s="91"/>
      <c r="AG49" s="53" t="str">
        <f t="shared" si="18"/>
        <v/>
      </c>
      <c r="AK49" s="68"/>
      <c r="AL49" s="74"/>
      <c r="AM49" s="69"/>
      <c r="AN49" s="69">
        <f t="shared" si="20"/>
        <v>0</v>
      </c>
      <c r="AO49" s="86"/>
      <c r="AP49" s="69">
        <f t="shared" si="10"/>
        <v>0</v>
      </c>
      <c r="AQ49" s="86">
        <f t="shared" si="11"/>
        <v>0</v>
      </c>
      <c r="AR49" s="69">
        <f t="shared" si="14"/>
        <v>0</v>
      </c>
    </row>
    <row r="50" spans="1:44" x14ac:dyDescent="0.25">
      <c r="A50" s="12" t="str">
        <f t="shared" si="0"/>
        <v/>
      </c>
      <c r="B50" s="16"/>
      <c r="C50" s="17"/>
      <c r="D50" s="18"/>
      <c r="E50" s="29"/>
      <c r="F50" s="27"/>
      <c r="G50" s="28"/>
      <c r="H50" s="19"/>
      <c r="I50" s="23"/>
      <c r="J50" s="82">
        <f t="shared" si="1"/>
        <v>0</v>
      </c>
      <c r="K50" s="30"/>
      <c r="L50" s="83" t="str">
        <f t="shared" si="5"/>
        <v/>
      </c>
      <c r="M50" s="23"/>
      <c r="Q50" s="12"/>
      <c r="R50" s="36"/>
      <c r="S50" s="65"/>
      <c r="T50" s="44"/>
      <c r="U50" s="45"/>
      <c r="V50" s="46"/>
      <c r="W50" s="46"/>
      <c r="X50" s="46">
        <f t="shared" si="6"/>
        <v>0</v>
      </c>
      <c r="Y50" s="46">
        <f t="shared" si="7"/>
        <v>0</v>
      </c>
      <c r="AA50" s="29"/>
      <c r="AB50" s="94"/>
      <c r="AC50" s="95"/>
      <c r="AD50" s="69"/>
      <c r="AE50" s="60">
        <f t="shared" si="17"/>
        <v>0</v>
      </c>
      <c r="AF50" s="96"/>
      <c r="AG50" s="69" t="str">
        <f t="shared" si="18"/>
        <v/>
      </c>
      <c r="AK50" s="67"/>
      <c r="AL50" s="73"/>
      <c r="AM50" s="53"/>
      <c r="AN50" s="53">
        <f t="shared" si="20"/>
        <v>0</v>
      </c>
      <c r="AO50" s="87"/>
      <c r="AP50" s="53">
        <f t="shared" si="10"/>
        <v>0</v>
      </c>
      <c r="AQ50" s="87">
        <f t="shared" si="11"/>
        <v>0</v>
      </c>
      <c r="AR50" s="53">
        <f t="shared" si="14"/>
        <v>0</v>
      </c>
    </row>
    <row r="51" spans="1:44" x14ac:dyDescent="0.25">
      <c r="A51" s="12" t="str">
        <f t="shared" si="0"/>
        <v/>
      </c>
      <c r="B51" s="16"/>
      <c r="C51" s="17"/>
      <c r="D51" s="18"/>
      <c r="E51" s="29"/>
      <c r="F51" s="39"/>
      <c r="G51" s="40"/>
      <c r="H51" s="41"/>
      <c r="I51" s="42"/>
      <c r="J51" s="82">
        <f t="shared" si="1"/>
        <v>0</v>
      </c>
      <c r="K51" s="43"/>
      <c r="L51" s="83" t="str">
        <f t="shared" si="5"/>
        <v/>
      </c>
      <c r="M51" s="53"/>
      <c r="Q51" s="12"/>
      <c r="R51" s="36"/>
      <c r="S51" s="65"/>
      <c r="T51" s="37"/>
      <c r="U51" s="38"/>
      <c r="V51" s="31"/>
      <c r="W51" s="31"/>
      <c r="X51" s="46">
        <f t="shared" si="6"/>
        <v>0</v>
      </c>
      <c r="Y51" s="46">
        <f t="shared" si="7"/>
        <v>0</v>
      </c>
      <c r="AA51" s="29"/>
      <c r="AB51" s="39"/>
      <c r="AC51" s="40"/>
      <c r="AD51" s="53"/>
      <c r="AE51" s="59">
        <f t="shared" si="17"/>
        <v>0</v>
      </c>
      <c r="AF51" s="91"/>
      <c r="AG51" s="53" t="str">
        <f t="shared" si="18"/>
        <v/>
      </c>
      <c r="AK51" s="68"/>
      <c r="AL51" s="74"/>
      <c r="AM51" s="69"/>
      <c r="AN51" s="69">
        <f t="shared" si="20"/>
        <v>0</v>
      </c>
      <c r="AO51" s="86"/>
      <c r="AP51" s="69">
        <f t="shared" si="10"/>
        <v>0</v>
      </c>
      <c r="AQ51" s="86">
        <f t="shared" si="11"/>
        <v>0</v>
      </c>
      <c r="AR51" s="69">
        <f t="shared" si="14"/>
        <v>0</v>
      </c>
    </row>
    <row r="52" spans="1:44" x14ac:dyDescent="0.25">
      <c r="A52" s="12" t="str">
        <f t="shared" ref="A52:A115" si="21">IFERROR(DATE(B52,C52,D52),"")</f>
        <v/>
      </c>
      <c r="B52" s="16"/>
      <c r="C52" s="17"/>
      <c r="D52" s="18"/>
      <c r="E52" s="29"/>
      <c r="F52" s="27"/>
      <c r="G52" s="28"/>
      <c r="H52" s="19"/>
      <c r="I52" s="23"/>
      <c r="J52" s="82">
        <f t="shared" ref="J52:J115" si="22">IF(E52="entrada",H52*I52,H52*I52*-1)</f>
        <v>0</v>
      </c>
      <c r="K52" s="30"/>
      <c r="L52" s="83" t="str">
        <f t="shared" ref="L52:L115" si="23">IF(J52=0,"",SUM(L51,J52))</f>
        <v/>
      </c>
      <c r="M52" s="23"/>
      <c r="Q52" s="12"/>
      <c r="R52" s="36"/>
      <c r="S52" s="65"/>
      <c r="T52" s="44"/>
      <c r="U52" s="45"/>
      <c r="V52" s="46"/>
      <c r="W52" s="46"/>
      <c r="X52" s="46">
        <f t="shared" si="6"/>
        <v>0</v>
      </c>
      <c r="Y52" s="46">
        <f t="shared" si="7"/>
        <v>0</v>
      </c>
      <c r="AA52" s="29"/>
      <c r="AB52" s="94"/>
      <c r="AC52" s="95"/>
      <c r="AD52" s="69"/>
      <c r="AE52" s="60">
        <f t="shared" si="17"/>
        <v>0</v>
      </c>
      <c r="AF52" s="96"/>
      <c r="AG52" s="69" t="str">
        <f t="shared" si="18"/>
        <v/>
      </c>
      <c r="AK52" s="67"/>
      <c r="AL52" s="73"/>
      <c r="AM52" s="53"/>
      <c r="AN52" s="53">
        <f t="shared" si="20"/>
        <v>0</v>
      </c>
      <c r="AO52" s="87"/>
      <c r="AP52" s="53">
        <f t="shared" si="10"/>
        <v>0</v>
      </c>
      <c r="AQ52" s="87">
        <f t="shared" si="11"/>
        <v>0</v>
      </c>
      <c r="AR52" s="53">
        <f t="shared" si="14"/>
        <v>0</v>
      </c>
    </row>
    <row r="53" spans="1:44" x14ac:dyDescent="0.25">
      <c r="A53" s="12" t="str">
        <f t="shared" si="21"/>
        <v/>
      </c>
      <c r="B53" s="16"/>
      <c r="C53" s="17"/>
      <c r="D53" s="18"/>
      <c r="E53" s="29"/>
      <c r="F53" s="39"/>
      <c r="G53" s="40"/>
      <c r="H53" s="41"/>
      <c r="I53" s="42"/>
      <c r="J53" s="82">
        <f t="shared" si="22"/>
        <v>0</v>
      </c>
      <c r="K53" s="43"/>
      <c r="L53" s="83" t="str">
        <f t="shared" si="23"/>
        <v/>
      </c>
      <c r="M53" s="53"/>
      <c r="Q53" s="12"/>
      <c r="R53" s="36"/>
      <c r="S53" s="65"/>
      <c r="T53" s="37"/>
      <c r="U53" s="38"/>
      <c r="V53" s="31"/>
      <c r="W53" s="31"/>
      <c r="X53" s="46">
        <f t="shared" si="6"/>
        <v>0</v>
      </c>
      <c r="Y53" s="46">
        <f t="shared" si="7"/>
        <v>0</v>
      </c>
      <c r="AA53" s="29"/>
      <c r="AB53" s="39"/>
      <c r="AC53" s="40"/>
      <c r="AD53" s="53"/>
      <c r="AE53" s="59">
        <f t="shared" si="17"/>
        <v>0</v>
      </c>
      <c r="AF53" s="91"/>
      <c r="AG53" s="53" t="str">
        <f t="shared" si="18"/>
        <v/>
      </c>
      <c r="AK53" s="68"/>
      <c r="AL53" s="74"/>
      <c r="AM53" s="69"/>
      <c r="AN53" s="69">
        <f t="shared" si="20"/>
        <v>0</v>
      </c>
      <c r="AO53" s="86"/>
      <c r="AP53" s="69">
        <f t="shared" si="10"/>
        <v>0</v>
      </c>
      <c r="AQ53" s="86">
        <f t="shared" si="11"/>
        <v>0</v>
      </c>
      <c r="AR53" s="69">
        <f t="shared" si="14"/>
        <v>0</v>
      </c>
    </row>
    <row r="54" spans="1:44" x14ac:dyDescent="0.25">
      <c r="A54" s="12" t="str">
        <f t="shared" si="21"/>
        <v/>
      </c>
      <c r="B54" s="16"/>
      <c r="C54" s="17"/>
      <c r="D54" s="18"/>
      <c r="E54" s="29"/>
      <c r="F54" s="27"/>
      <c r="G54" s="28"/>
      <c r="H54" s="19"/>
      <c r="I54" s="23"/>
      <c r="J54" s="82">
        <f t="shared" si="22"/>
        <v>0</v>
      </c>
      <c r="K54" s="30"/>
      <c r="L54" s="83" t="str">
        <f t="shared" si="23"/>
        <v/>
      </c>
      <c r="M54" s="23"/>
      <c r="Q54" s="12"/>
      <c r="R54" s="36"/>
      <c r="S54" s="65"/>
      <c r="T54" s="44"/>
      <c r="U54" s="45"/>
      <c r="V54" s="46"/>
      <c r="W54" s="46"/>
      <c r="X54" s="46">
        <f t="shared" si="6"/>
        <v>0</v>
      </c>
      <c r="Y54" s="46">
        <f t="shared" si="7"/>
        <v>0</v>
      </c>
      <c r="AA54" s="29"/>
      <c r="AB54" s="94"/>
      <c r="AC54" s="95"/>
      <c r="AD54" s="69"/>
      <c r="AE54" s="60">
        <f t="shared" si="17"/>
        <v>0</v>
      </c>
      <c r="AF54" s="96"/>
      <c r="AG54" s="69" t="str">
        <f t="shared" si="18"/>
        <v/>
      </c>
      <c r="AK54" s="67"/>
      <c r="AL54" s="73"/>
      <c r="AM54" s="53"/>
      <c r="AN54" s="53">
        <f t="shared" si="20"/>
        <v>0</v>
      </c>
      <c r="AO54" s="87"/>
      <c r="AP54" s="53">
        <f t="shared" si="10"/>
        <v>0</v>
      </c>
      <c r="AQ54" s="87">
        <f t="shared" si="11"/>
        <v>0</v>
      </c>
      <c r="AR54" s="53">
        <f t="shared" si="14"/>
        <v>0</v>
      </c>
    </row>
    <row r="55" spans="1:44" x14ac:dyDescent="0.25">
      <c r="A55" s="12" t="str">
        <f t="shared" si="21"/>
        <v/>
      </c>
      <c r="B55" s="16"/>
      <c r="C55" s="17"/>
      <c r="D55" s="18"/>
      <c r="E55" s="29"/>
      <c r="F55" s="39"/>
      <c r="G55" s="40"/>
      <c r="H55" s="41"/>
      <c r="I55" s="42"/>
      <c r="J55" s="82">
        <f t="shared" si="22"/>
        <v>0</v>
      </c>
      <c r="K55" s="43"/>
      <c r="L55" s="83" t="str">
        <f t="shared" si="23"/>
        <v/>
      </c>
      <c r="M55" s="53"/>
      <c r="Q55" s="12"/>
      <c r="R55" s="36"/>
      <c r="S55" s="65"/>
      <c r="T55" s="37"/>
      <c r="U55" s="38"/>
      <c r="V55" s="31"/>
      <c r="W55" s="31"/>
      <c r="X55" s="46">
        <f t="shared" si="6"/>
        <v>0</v>
      </c>
      <c r="Y55" s="46">
        <f t="shared" si="7"/>
        <v>0</v>
      </c>
      <c r="AA55" s="29"/>
      <c r="AB55" s="39"/>
      <c r="AC55" s="40"/>
      <c r="AD55" s="53"/>
      <c r="AE55" s="59">
        <f t="shared" si="17"/>
        <v>0</v>
      </c>
      <c r="AF55" s="91"/>
      <c r="AG55" s="53" t="str">
        <f t="shared" si="18"/>
        <v/>
      </c>
      <c r="AK55" s="68"/>
      <c r="AL55" s="74"/>
      <c r="AM55" s="69"/>
      <c r="AN55" s="69">
        <f t="shared" si="20"/>
        <v>0</v>
      </c>
      <c r="AO55" s="86"/>
      <c r="AP55" s="69">
        <f t="shared" si="10"/>
        <v>0</v>
      </c>
      <c r="AQ55" s="86">
        <f t="shared" si="11"/>
        <v>0</v>
      </c>
      <c r="AR55" s="69">
        <f t="shared" si="14"/>
        <v>0</v>
      </c>
    </row>
    <row r="56" spans="1:44" x14ac:dyDescent="0.25">
      <c r="A56" s="12" t="str">
        <f t="shared" si="21"/>
        <v/>
      </c>
      <c r="B56" s="16"/>
      <c r="C56" s="17"/>
      <c r="D56" s="18"/>
      <c r="E56" s="29"/>
      <c r="F56" s="27"/>
      <c r="G56" s="28"/>
      <c r="H56" s="19"/>
      <c r="I56" s="23"/>
      <c r="J56" s="82">
        <f t="shared" si="22"/>
        <v>0</v>
      </c>
      <c r="K56" s="30"/>
      <c r="L56" s="83" t="str">
        <f t="shared" si="23"/>
        <v/>
      </c>
      <c r="M56" s="23"/>
      <c r="Q56" s="12"/>
      <c r="R56" s="36"/>
      <c r="S56" s="65"/>
      <c r="T56" s="44"/>
      <c r="U56" s="45"/>
      <c r="V56" s="46"/>
      <c r="W56" s="46"/>
      <c r="X56" s="46">
        <f t="shared" si="6"/>
        <v>0</v>
      </c>
      <c r="Y56" s="46">
        <f t="shared" si="7"/>
        <v>0</v>
      </c>
      <c r="AA56" s="29"/>
      <c r="AB56" s="94"/>
      <c r="AC56" s="95"/>
      <c r="AD56" s="69"/>
      <c r="AE56" s="60">
        <f t="shared" si="17"/>
        <v>0</v>
      </c>
      <c r="AF56" s="96"/>
      <c r="AG56" s="69" t="str">
        <f t="shared" si="18"/>
        <v/>
      </c>
      <c r="AK56" s="67"/>
      <c r="AL56" s="73"/>
      <c r="AM56" s="53"/>
      <c r="AN56" s="53">
        <f t="shared" si="20"/>
        <v>0</v>
      </c>
      <c r="AO56" s="87"/>
      <c r="AP56" s="53">
        <f t="shared" si="10"/>
        <v>0</v>
      </c>
      <c r="AQ56" s="87">
        <f t="shared" si="11"/>
        <v>0</v>
      </c>
      <c r="AR56" s="53">
        <f t="shared" si="14"/>
        <v>0</v>
      </c>
    </row>
    <row r="57" spans="1:44" x14ac:dyDescent="0.25">
      <c r="A57" s="12" t="str">
        <f t="shared" si="21"/>
        <v/>
      </c>
      <c r="B57" s="16"/>
      <c r="C57" s="17"/>
      <c r="D57" s="18"/>
      <c r="E57" s="29"/>
      <c r="F57" s="39"/>
      <c r="G57" s="40"/>
      <c r="H57" s="41"/>
      <c r="I57" s="42"/>
      <c r="J57" s="82">
        <f t="shared" si="22"/>
        <v>0</v>
      </c>
      <c r="K57" s="43"/>
      <c r="L57" s="83" t="str">
        <f t="shared" si="23"/>
        <v/>
      </c>
      <c r="M57" s="53"/>
      <c r="Q57" s="12"/>
      <c r="R57" s="36"/>
      <c r="S57" s="65"/>
      <c r="T57" s="37"/>
      <c r="U57" s="38"/>
      <c r="V57" s="31"/>
      <c r="W57" s="31"/>
      <c r="X57" s="46">
        <f t="shared" si="6"/>
        <v>0</v>
      </c>
      <c r="Y57" s="46">
        <f t="shared" si="7"/>
        <v>0</v>
      </c>
      <c r="AA57" s="29"/>
      <c r="AB57" s="39"/>
      <c r="AC57" s="40"/>
      <c r="AD57" s="53"/>
      <c r="AE57" s="59">
        <f t="shared" si="17"/>
        <v>0</v>
      </c>
      <c r="AF57" s="91"/>
      <c r="AG57" s="53" t="str">
        <f t="shared" si="18"/>
        <v/>
      </c>
      <c r="AK57" s="68"/>
      <c r="AL57" s="74"/>
      <c r="AM57" s="69"/>
      <c r="AN57" s="69">
        <f t="shared" si="20"/>
        <v>0</v>
      </c>
      <c r="AO57" s="86"/>
      <c r="AP57" s="69">
        <f t="shared" si="10"/>
        <v>0</v>
      </c>
      <c r="AQ57" s="86">
        <f t="shared" si="11"/>
        <v>0</v>
      </c>
      <c r="AR57" s="69">
        <f t="shared" si="14"/>
        <v>0</v>
      </c>
    </row>
    <row r="58" spans="1:44" x14ac:dyDescent="0.25">
      <c r="A58" s="12" t="str">
        <f t="shared" si="21"/>
        <v/>
      </c>
      <c r="B58" s="16"/>
      <c r="C58" s="17"/>
      <c r="D58" s="18"/>
      <c r="E58" s="29"/>
      <c r="F58" s="27"/>
      <c r="G58" s="28"/>
      <c r="H58" s="19"/>
      <c r="I58" s="23"/>
      <c r="J58" s="82">
        <f t="shared" si="22"/>
        <v>0</v>
      </c>
      <c r="K58" s="30"/>
      <c r="L58" s="83" t="str">
        <f t="shared" si="23"/>
        <v/>
      </c>
      <c r="M58" s="23"/>
      <c r="Q58" s="12"/>
      <c r="R58" s="36"/>
      <c r="S58" s="65"/>
      <c r="T58" s="44"/>
      <c r="U58" s="45"/>
      <c r="V58" s="46"/>
      <c r="W58" s="46"/>
      <c r="X58" s="46">
        <f t="shared" si="6"/>
        <v>0</v>
      </c>
      <c r="Y58" s="46">
        <f t="shared" si="7"/>
        <v>0</v>
      </c>
      <c r="AA58" s="29"/>
      <c r="AB58" s="94"/>
      <c r="AC58" s="95"/>
      <c r="AD58" s="69"/>
      <c r="AE58" s="60">
        <f t="shared" si="17"/>
        <v>0</v>
      </c>
      <c r="AF58" s="96"/>
      <c r="AG58" s="69" t="str">
        <f t="shared" si="18"/>
        <v/>
      </c>
      <c r="AK58" s="67"/>
      <c r="AL58" s="73"/>
      <c r="AM58" s="53"/>
      <c r="AN58" s="53">
        <f t="shared" si="20"/>
        <v>0</v>
      </c>
      <c r="AO58" s="87"/>
      <c r="AP58" s="53">
        <f t="shared" si="10"/>
        <v>0</v>
      </c>
      <c r="AQ58" s="87">
        <f t="shared" si="11"/>
        <v>0</v>
      </c>
      <c r="AR58" s="53">
        <f t="shared" si="14"/>
        <v>0</v>
      </c>
    </row>
    <row r="59" spans="1:44" x14ac:dyDescent="0.25">
      <c r="A59" s="12" t="str">
        <f t="shared" si="21"/>
        <v/>
      </c>
      <c r="B59" s="16"/>
      <c r="C59" s="17"/>
      <c r="D59" s="18"/>
      <c r="E59" s="29"/>
      <c r="F59" s="39"/>
      <c r="G59" s="40"/>
      <c r="H59" s="41"/>
      <c r="I59" s="42"/>
      <c r="J59" s="82">
        <f t="shared" si="22"/>
        <v>0</v>
      </c>
      <c r="K59" s="43"/>
      <c r="L59" s="83" t="str">
        <f t="shared" si="23"/>
        <v/>
      </c>
      <c r="M59" s="53"/>
      <c r="Q59" s="12"/>
      <c r="R59" s="36"/>
      <c r="S59" s="65"/>
      <c r="T59" s="37"/>
      <c r="U59" s="38"/>
      <c r="V59" s="31"/>
      <c r="W59" s="31"/>
      <c r="X59" s="46">
        <f t="shared" si="6"/>
        <v>0</v>
      </c>
      <c r="Y59" s="46">
        <f t="shared" si="7"/>
        <v>0</v>
      </c>
      <c r="AA59" s="29"/>
      <c r="AB59" s="39"/>
      <c r="AC59" s="40"/>
      <c r="AD59" s="53"/>
      <c r="AE59" s="59">
        <f t="shared" si="17"/>
        <v>0</v>
      </c>
      <c r="AF59" s="91"/>
      <c r="AG59" s="53" t="str">
        <f t="shared" si="18"/>
        <v/>
      </c>
      <c r="AK59" s="68"/>
      <c r="AL59" s="74"/>
      <c r="AM59" s="69"/>
      <c r="AN59" s="69">
        <f t="shared" si="20"/>
        <v>0</v>
      </c>
      <c r="AO59" s="86"/>
      <c r="AP59" s="69">
        <f t="shared" si="10"/>
        <v>0</v>
      </c>
      <c r="AQ59" s="86">
        <f t="shared" si="11"/>
        <v>0</v>
      </c>
      <c r="AR59" s="69">
        <f t="shared" si="14"/>
        <v>0</v>
      </c>
    </row>
    <row r="60" spans="1:44" x14ac:dyDescent="0.25">
      <c r="A60" s="12" t="str">
        <f t="shared" si="21"/>
        <v/>
      </c>
      <c r="B60" s="16"/>
      <c r="C60" s="17"/>
      <c r="D60" s="18"/>
      <c r="E60" s="29"/>
      <c r="F60" s="27"/>
      <c r="G60" s="28"/>
      <c r="H60" s="19"/>
      <c r="I60" s="23"/>
      <c r="J60" s="82">
        <f t="shared" si="22"/>
        <v>0</v>
      </c>
      <c r="K60" s="30"/>
      <c r="L60" s="83" t="str">
        <f t="shared" si="23"/>
        <v/>
      </c>
      <c r="M60" s="23"/>
      <c r="Q60" s="12"/>
      <c r="R60" s="36"/>
      <c r="S60" s="65"/>
      <c r="T60" s="44"/>
      <c r="U60" s="45"/>
      <c r="V60" s="46"/>
      <c r="W60" s="46"/>
      <c r="X60" s="46">
        <f t="shared" si="6"/>
        <v>0</v>
      </c>
      <c r="Y60" s="46">
        <f t="shared" si="7"/>
        <v>0</v>
      </c>
      <c r="AA60" s="29"/>
      <c r="AB60" s="94"/>
      <c r="AC60" s="95"/>
      <c r="AD60" s="69"/>
      <c r="AE60" s="60">
        <f t="shared" si="17"/>
        <v>0</v>
      </c>
      <c r="AF60" s="96"/>
      <c r="AG60" s="69" t="str">
        <f t="shared" si="18"/>
        <v/>
      </c>
      <c r="AK60" s="67"/>
      <c r="AL60" s="73"/>
      <c r="AM60" s="53"/>
      <c r="AN60" s="53">
        <f t="shared" si="20"/>
        <v>0</v>
      </c>
      <c r="AO60" s="87"/>
      <c r="AP60" s="53">
        <f t="shared" si="10"/>
        <v>0</v>
      </c>
      <c r="AQ60" s="87">
        <f t="shared" si="11"/>
        <v>0</v>
      </c>
      <c r="AR60" s="53">
        <f t="shared" si="14"/>
        <v>0</v>
      </c>
    </row>
    <row r="61" spans="1:44" x14ac:dyDescent="0.25">
      <c r="A61" s="12" t="str">
        <f t="shared" si="21"/>
        <v/>
      </c>
      <c r="B61" s="16"/>
      <c r="C61" s="17"/>
      <c r="D61" s="18"/>
      <c r="E61" s="29"/>
      <c r="F61" s="39"/>
      <c r="G61" s="40"/>
      <c r="H61" s="41"/>
      <c r="I61" s="42"/>
      <c r="J61" s="82">
        <f t="shared" si="22"/>
        <v>0</v>
      </c>
      <c r="K61" s="43"/>
      <c r="L61" s="83" t="str">
        <f t="shared" si="23"/>
        <v/>
      </c>
      <c r="M61" s="53"/>
      <c r="Q61" s="12"/>
      <c r="R61" s="36"/>
      <c r="S61" s="65"/>
      <c r="T61" s="37"/>
      <c r="U61" s="38"/>
      <c r="V61" s="31"/>
      <c r="W61" s="31"/>
      <c r="X61" s="46">
        <f t="shared" si="6"/>
        <v>0</v>
      </c>
      <c r="Y61" s="46">
        <f t="shared" si="7"/>
        <v>0</v>
      </c>
      <c r="AA61" s="29"/>
      <c r="AB61" s="39"/>
      <c r="AC61" s="40"/>
      <c r="AD61" s="53"/>
      <c r="AE61" s="59">
        <f t="shared" si="17"/>
        <v>0</v>
      </c>
      <c r="AF61" s="91"/>
      <c r="AG61" s="53" t="str">
        <f t="shared" si="18"/>
        <v/>
      </c>
      <c r="AK61" s="68"/>
      <c r="AL61" s="74"/>
      <c r="AM61" s="69"/>
      <c r="AN61" s="69">
        <f t="shared" si="20"/>
        <v>0</v>
      </c>
      <c r="AO61" s="86"/>
      <c r="AP61" s="69">
        <f t="shared" si="10"/>
        <v>0</v>
      </c>
      <c r="AQ61" s="86">
        <f t="shared" si="11"/>
        <v>0</v>
      </c>
      <c r="AR61" s="69">
        <f t="shared" si="14"/>
        <v>0</v>
      </c>
    </row>
    <row r="62" spans="1:44" x14ac:dyDescent="0.25">
      <c r="A62" s="12" t="str">
        <f t="shared" si="21"/>
        <v/>
      </c>
      <c r="B62" s="16"/>
      <c r="C62" s="17"/>
      <c r="D62" s="18"/>
      <c r="E62" s="29"/>
      <c r="F62" s="27"/>
      <c r="G62" s="28"/>
      <c r="H62" s="19"/>
      <c r="I62" s="23"/>
      <c r="J62" s="82">
        <f t="shared" si="22"/>
        <v>0</v>
      </c>
      <c r="K62" s="30"/>
      <c r="L62" s="83" t="str">
        <f t="shared" si="23"/>
        <v/>
      </c>
      <c r="M62" s="23"/>
      <c r="Q62" s="12"/>
      <c r="R62" s="36"/>
      <c r="S62" s="65"/>
      <c r="T62" s="44"/>
      <c r="U62" s="45"/>
      <c r="V62" s="46"/>
      <c r="W62" s="46"/>
      <c r="X62" s="46">
        <f t="shared" si="6"/>
        <v>0</v>
      </c>
      <c r="Y62" s="46">
        <f t="shared" si="7"/>
        <v>0</v>
      </c>
      <c r="AA62" s="29"/>
      <c r="AB62" s="94"/>
      <c r="AC62" s="95"/>
      <c r="AD62" s="69"/>
      <c r="AE62" s="60">
        <f t="shared" si="17"/>
        <v>0</v>
      </c>
      <c r="AF62" s="96"/>
      <c r="AG62" s="69" t="str">
        <f t="shared" si="18"/>
        <v/>
      </c>
      <c r="AK62" s="67"/>
      <c r="AL62" s="73"/>
      <c r="AM62" s="53"/>
      <c r="AN62" s="53">
        <f t="shared" si="20"/>
        <v>0</v>
      </c>
      <c r="AO62" s="87"/>
      <c r="AP62" s="53">
        <f t="shared" si="10"/>
        <v>0</v>
      </c>
      <c r="AQ62" s="87">
        <f t="shared" si="11"/>
        <v>0</v>
      </c>
      <c r="AR62" s="53">
        <f t="shared" si="14"/>
        <v>0</v>
      </c>
    </row>
    <row r="63" spans="1:44" x14ac:dyDescent="0.25">
      <c r="A63" s="12" t="str">
        <f t="shared" si="21"/>
        <v/>
      </c>
      <c r="B63" s="16"/>
      <c r="C63" s="17"/>
      <c r="D63" s="18"/>
      <c r="E63" s="29"/>
      <c r="F63" s="39"/>
      <c r="G63" s="40"/>
      <c r="H63" s="41"/>
      <c r="I63" s="42"/>
      <c r="J63" s="82">
        <f t="shared" si="22"/>
        <v>0</v>
      </c>
      <c r="K63" s="43"/>
      <c r="L63" s="83" t="str">
        <f t="shared" si="23"/>
        <v/>
      </c>
      <c r="M63" s="53"/>
      <c r="Q63" s="12"/>
      <c r="R63" s="36"/>
      <c r="S63" s="65"/>
      <c r="T63" s="37"/>
      <c r="U63" s="38"/>
      <c r="V63" s="31"/>
      <c r="W63" s="31"/>
      <c r="X63" s="46">
        <f t="shared" si="6"/>
        <v>0</v>
      </c>
      <c r="Y63" s="46">
        <f t="shared" si="7"/>
        <v>0</v>
      </c>
      <c r="AA63" s="29"/>
      <c r="AB63" s="39"/>
      <c r="AC63" s="40"/>
      <c r="AD63" s="53"/>
      <c r="AE63" s="59">
        <f t="shared" si="17"/>
        <v>0</v>
      </c>
      <c r="AF63" s="91"/>
      <c r="AG63" s="53" t="str">
        <f t="shared" si="18"/>
        <v/>
      </c>
      <c r="AK63" s="68"/>
      <c r="AL63" s="74"/>
      <c r="AM63" s="69"/>
      <c r="AN63" s="69">
        <f t="shared" si="20"/>
        <v>0</v>
      </c>
      <c r="AO63" s="86"/>
      <c r="AP63" s="69">
        <f t="shared" si="10"/>
        <v>0</v>
      </c>
      <c r="AQ63" s="86">
        <f t="shared" si="11"/>
        <v>0</v>
      </c>
      <c r="AR63" s="69">
        <f t="shared" si="14"/>
        <v>0</v>
      </c>
    </row>
    <row r="64" spans="1:44" x14ac:dyDescent="0.25">
      <c r="A64" s="12" t="str">
        <f t="shared" si="21"/>
        <v/>
      </c>
      <c r="B64" s="16"/>
      <c r="C64" s="17"/>
      <c r="D64" s="18"/>
      <c r="E64" s="29"/>
      <c r="F64" s="27"/>
      <c r="G64" s="28"/>
      <c r="H64" s="19"/>
      <c r="I64" s="23"/>
      <c r="J64" s="82">
        <f t="shared" si="22"/>
        <v>0</v>
      </c>
      <c r="K64" s="30"/>
      <c r="L64" s="83" t="str">
        <f t="shared" si="23"/>
        <v/>
      </c>
      <c r="M64" s="23"/>
      <c r="Q64" s="12"/>
      <c r="R64" s="36"/>
      <c r="S64" s="65"/>
      <c r="T64" s="44"/>
      <c r="U64" s="45"/>
      <c r="V64" s="46"/>
      <c r="W64" s="46"/>
      <c r="X64" s="46">
        <f t="shared" si="6"/>
        <v>0</v>
      </c>
      <c r="Y64" s="46">
        <f t="shared" si="7"/>
        <v>0</v>
      </c>
      <c r="AA64" s="29"/>
      <c r="AB64" s="94"/>
      <c r="AC64" s="95"/>
      <c r="AD64" s="69"/>
      <c r="AE64" s="60">
        <f t="shared" si="17"/>
        <v>0</v>
      </c>
      <c r="AF64" s="96"/>
      <c r="AG64" s="69" t="str">
        <f t="shared" si="18"/>
        <v/>
      </c>
      <c r="AK64" s="67"/>
      <c r="AL64" s="73"/>
      <c r="AM64" s="53"/>
      <c r="AN64" s="53">
        <f t="shared" si="20"/>
        <v>0</v>
      </c>
      <c r="AO64" s="87"/>
      <c r="AP64" s="53">
        <f t="shared" si="10"/>
        <v>0</v>
      </c>
      <c r="AQ64" s="87">
        <f t="shared" si="11"/>
        <v>0</v>
      </c>
      <c r="AR64" s="53">
        <f t="shared" si="14"/>
        <v>0</v>
      </c>
    </row>
    <row r="65" spans="1:44" x14ac:dyDescent="0.25">
      <c r="A65" s="12" t="str">
        <f t="shared" si="21"/>
        <v/>
      </c>
      <c r="B65" s="16"/>
      <c r="C65" s="17"/>
      <c r="D65" s="18"/>
      <c r="E65" s="29"/>
      <c r="F65" s="39"/>
      <c r="G65" s="40"/>
      <c r="H65" s="41"/>
      <c r="I65" s="42"/>
      <c r="J65" s="82">
        <f t="shared" si="22"/>
        <v>0</v>
      </c>
      <c r="K65" s="43"/>
      <c r="L65" s="83" t="str">
        <f t="shared" si="23"/>
        <v/>
      </c>
      <c r="M65" s="53"/>
      <c r="Q65" s="12"/>
      <c r="R65" s="36"/>
      <c r="S65" s="65"/>
      <c r="T65" s="37"/>
      <c r="U65" s="38"/>
      <c r="V65" s="31"/>
      <c r="W65" s="31"/>
      <c r="X65" s="46">
        <f t="shared" si="6"/>
        <v>0</v>
      </c>
      <c r="Y65" s="46">
        <f t="shared" si="7"/>
        <v>0</v>
      </c>
      <c r="AA65" s="29"/>
      <c r="AB65" s="39"/>
      <c r="AC65" s="40"/>
      <c r="AD65" s="53"/>
      <c r="AE65" s="59">
        <f t="shared" si="17"/>
        <v>0</v>
      </c>
      <c r="AF65" s="91"/>
      <c r="AG65" s="53" t="str">
        <f t="shared" si="18"/>
        <v/>
      </c>
      <c r="AK65" s="68"/>
      <c r="AL65" s="74"/>
      <c r="AM65" s="69"/>
      <c r="AN65" s="69">
        <f t="shared" si="20"/>
        <v>0</v>
      </c>
      <c r="AO65" s="86"/>
      <c r="AP65" s="69">
        <f t="shared" si="10"/>
        <v>0</v>
      </c>
      <c r="AQ65" s="86">
        <f t="shared" si="11"/>
        <v>0</v>
      </c>
      <c r="AR65" s="69">
        <f t="shared" si="14"/>
        <v>0</v>
      </c>
    </row>
    <row r="66" spans="1:44" x14ac:dyDescent="0.25">
      <c r="A66" s="12" t="str">
        <f t="shared" si="21"/>
        <v/>
      </c>
      <c r="B66" s="16"/>
      <c r="C66" s="17"/>
      <c r="D66" s="18"/>
      <c r="E66" s="29"/>
      <c r="F66" s="27"/>
      <c r="G66" s="28"/>
      <c r="H66" s="19"/>
      <c r="I66" s="23"/>
      <c r="J66" s="82">
        <f t="shared" si="22"/>
        <v>0</v>
      </c>
      <c r="K66" s="30"/>
      <c r="L66" s="83" t="str">
        <f t="shared" si="23"/>
        <v/>
      </c>
      <c r="M66" s="23"/>
      <c r="Q66" s="12"/>
      <c r="R66" s="36"/>
      <c r="S66" s="65"/>
      <c r="T66" s="44"/>
      <c r="U66" s="45"/>
      <c r="V66" s="46"/>
      <c r="W66" s="46"/>
      <c r="X66" s="46">
        <f t="shared" si="6"/>
        <v>0</v>
      </c>
      <c r="Y66" s="46">
        <f t="shared" si="7"/>
        <v>0</v>
      </c>
      <c r="AA66" s="29"/>
      <c r="AB66" s="94"/>
      <c r="AC66" s="95"/>
      <c r="AD66" s="69"/>
      <c r="AE66" s="60">
        <f t="shared" si="17"/>
        <v>0</v>
      </c>
      <c r="AF66" s="96"/>
      <c r="AG66" s="69" t="str">
        <f t="shared" si="18"/>
        <v/>
      </c>
      <c r="AK66" s="67"/>
      <c r="AL66" s="73"/>
      <c r="AM66" s="53"/>
      <c r="AN66" s="53">
        <f t="shared" si="20"/>
        <v>0</v>
      </c>
      <c r="AO66" s="87"/>
      <c r="AP66" s="53">
        <f t="shared" si="10"/>
        <v>0</v>
      </c>
      <c r="AQ66" s="87">
        <f t="shared" si="11"/>
        <v>0</v>
      </c>
      <c r="AR66" s="53">
        <f t="shared" si="14"/>
        <v>0</v>
      </c>
    </row>
    <row r="67" spans="1:44" x14ac:dyDescent="0.25">
      <c r="A67" s="12" t="str">
        <f t="shared" si="21"/>
        <v/>
      </c>
      <c r="B67" s="16"/>
      <c r="C67" s="17"/>
      <c r="D67" s="18"/>
      <c r="E67" s="29"/>
      <c r="F67" s="39"/>
      <c r="G67" s="40"/>
      <c r="H67" s="41"/>
      <c r="I67" s="42"/>
      <c r="J67" s="82">
        <f t="shared" si="22"/>
        <v>0</v>
      </c>
      <c r="K67" s="43"/>
      <c r="L67" s="83" t="str">
        <f t="shared" si="23"/>
        <v/>
      </c>
      <c r="M67" s="53"/>
      <c r="Q67" s="12"/>
      <c r="R67" s="36"/>
      <c r="S67" s="65"/>
      <c r="T67" s="37"/>
      <c r="U67" s="38"/>
      <c r="V67" s="31"/>
      <c r="W67" s="31"/>
      <c r="X67" s="46">
        <f t="shared" si="6"/>
        <v>0</v>
      </c>
      <c r="Y67" s="46">
        <f t="shared" si="7"/>
        <v>0</v>
      </c>
      <c r="AA67" s="29"/>
      <c r="AB67" s="39"/>
      <c r="AC67" s="40"/>
      <c r="AD67" s="53"/>
      <c r="AE67" s="59">
        <f t="shared" si="17"/>
        <v>0</v>
      </c>
      <c r="AF67" s="91"/>
      <c r="AG67" s="53" t="str">
        <f t="shared" si="18"/>
        <v/>
      </c>
      <c r="AK67" s="68"/>
      <c r="AL67" s="74"/>
      <c r="AM67" s="69"/>
      <c r="AN67" s="69">
        <f t="shared" si="20"/>
        <v>0</v>
      </c>
      <c r="AO67" s="86"/>
      <c r="AP67" s="69">
        <f t="shared" si="10"/>
        <v>0</v>
      </c>
      <c r="AQ67" s="86">
        <f t="shared" si="11"/>
        <v>0</v>
      </c>
      <c r="AR67" s="69">
        <f t="shared" si="14"/>
        <v>0</v>
      </c>
    </row>
    <row r="68" spans="1:44" x14ac:dyDescent="0.25">
      <c r="A68" s="12" t="str">
        <f t="shared" si="21"/>
        <v/>
      </c>
      <c r="B68" s="16"/>
      <c r="C68" s="17"/>
      <c r="D68" s="18"/>
      <c r="E68" s="29"/>
      <c r="F68" s="27"/>
      <c r="G68" s="28"/>
      <c r="H68" s="19"/>
      <c r="I68" s="23"/>
      <c r="J68" s="82">
        <f t="shared" si="22"/>
        <v>0</v>
      </c>
      <c r="K68" s="30"/>
      <c r="L68" s="83" t="str">
        <f t="shared" si="23"/>
        <v/>
      </c>
      <c r="M68" s="23"/>
      <c r="Q68" s="12"/>
      <c r="R68" s="36"/>
      <c r="S68" s="65"/>
      <c r="T68" s="44"/>
      <c r="U68" s="45"/>
      <c r="V68" s="46"/>
      <c r="W68" s="46"/>
      <c r="X68" s="46">
        <f t="shared" si="6"/>
        <v>0</v>
      </c>
      <c r="Y68" s="46">
        <f t="shared" si="7"/>
        <v>0</v>
      </c>
      <c r="AA68" s="29"/>
      <c r="AB68" s="94"/>
      <c r="AC68" s="95"/>
      <c r="AD68" s="69"/>
      <c r="AE68" s="60">
        <f t="shared" si="17"/>
        <v>0</v>
      </c>
      <c r="AF68" s="96"/>
      <c r="AG68" s="69" t="str">
        <f t="shared" si="18"/>
        <v/>
      </c>
      <c r="AK68" s="67"/>
      <c r="AL68" s="73"/>
      <c r="AM68" s="53"/>
      <c r="AN68" s="53">
        <f t="shared" si="20"/>
        <v>0</v>
      </c>
      <c r="AO68" s="87"/>
      <c r="AP68" s="53">
        <f t="shared" si="10"/>
        <v>0</v>
      </c>
      <c r="AQ68" s="87">
        <f t="shared" si="11"/>
        <v>0</v>
      </c>
      <c r="AR68" s="53">
        <f t="shared" si="14"/>
        <v>0</v>
      </c>
    </row>
    <row r="69" spans="1:44" x14ac:dyDescent="0.25">
      <c r="A69" s="12" t="str">
        <f t="shared" si="21"/>
        <v/>
      </c>
      <c r="B69" s="16"/>
      <c r="C69" s="17"/>
      <c r="D69" s="18"/>
      <c r="E69" s="29"/>
      <c r="F69" s="39"/>
      <c r="G69" s="40"/>
      <c r="H69" s="41"/>
      <c r="I69" s="42"/>
      <c r="J69" s="82">
        <f t="shared" si="22"/>
        <v>0</v>
      </c>
      <c r="K69" s="43"/>
      <c r="L69" s="83" t="str">
        <f t="shared" si="23"/>
        <v/>
      </c>
      <c r="M69" s="53"/>
      <c r="Q69" s="12"/>
      <c r="R69" s="36"/>
      <c r="S69" s="65"/>
      <c r="T69" s="37"/>
      <c r="U69" s="38"/>
      <c r="V69" s="31"/>
      <c r="W69" s="31"/>
      <c r="X69" s="46">
        <f t="shared" si="6"/>
        <v>0</v>
      </c>
      <c r="Y69" s="46">
        <f t="shared" si="7"/>
        <v>0</v>
      </c>
      <c r="AA69" s="29"/>
      <c r="AB69" s="39"/>
      <c r="AC69" s="40"/>
      <c r="AD69" s="53"/>
      <c r="AE69" s="59">
        <f t="shared" si="17"/>
        <v>0</v>
      </c>
      <c r="AF69" s="91"/>
      <c r="AG69" s="53" t="str">
        <f t="shared" si="18"/>
        <v/>
      </c>
      <c r="AK69" s="68"/>
      <c r="AL69" s="74"/>
      <c r="AM69" s="69"/>
      <c r="AN69" s="69">
        <f t="shared" si="20"/>
        <v>0</v>
      </c>
      <c r="AO69" s="86"/>
      <c r="AP69" s="69">
        <f t="shared" si="10"/>
        <v>0</v>
      </c>
      <c r="AQ69" s="86">
        <f t="shared" si="11"/>
        <v>0</v>
      </c>
      <c r="AR69" s="69">
        <f t="shared" si="14"/>
        <v>0</v>
      </c>
    </row>
    <row r="70" spans="1:44" x14ac:dyDescent="0.25">
      <c r="A70" s="12" t="str">
        <f t="shared" si="21"/>
        <v/>
      </c>
      <c r="B70" s="16"/>
      <c r="C70" s="17"/>
      <c r="D70" s="18"/>
      <c r="E70" s="29"/>
      <c r="F70" s="27"/>
      <c r="G70" s="28"/>
      <c r="H70" s="19"/>
      <c r="I70" s="23"/>
      <c r="J70" s="82">
        <f t="shared" si="22"/>
        <v>0</v>
      </c>
      <c r="K70" s="30"/>
      <c r="L70" s="83" t="str">
        <f t="shared" si="23"/>
        <v/>
      </c>
      <c r="M70" s="23"/>
      <c r="Q70" s="12"/>
      <c r="R70" s="36"/>
      <c r="S70" s="65"/>
      <c r="T70" s="44"/>
      <c r="U70" s="45"/>
      <c r="V70" s="46"/>
      <c r="W70" s="46"/>
      <c r="X70" s="46">
        <f t="shared" si="6"/>
        <v>0</v>
      </c>
      <c r="Y70" s="46">
        <f t="shared" si="7"/>
        <v>0</v>
      </c>
      <c r="AA70" s="29"/>
      <c r="AB70" s="94"/>
      <c r="AC70" s="95"/>
      <c r="AD70" s="69"/>
      <c r="AE70" s="60">
        <f t="shared" si="17"/>
        <v>0</v>
      </c>
      <c r="AF70" s="96"/>
      <c r="AG70" s="69" t="str">
        <f t="shared" si="18"/>
        <v/>
      </c>
      <c r="AK70" s="67"/>
      <c r="AL70" s="73"/>
      <c r="AM70" s="53"/>
      <c r="AN70" s="53">
        <f t="shared" si="20"/>
        <v>0</v>
      </c>
      <c r="AO70" s="87"/>
      <c r="AP70" s="53">
        <f t="shared" si="10"/>
        <v>0</v>
      </c>
      <c r="AQ70" s="87">
        <f t="shared" si="11"/>
        <v>0</v>
      </c>
      <c r="AR70" s="53">
        <f t="shared" si="14"/>
        <v>0</v>
      </c>
    </row>
    <row r="71" spans="1:44" x14ac:dyDescent="0.25">
      <c r="A71" s="12" t="str">
        <f t="shared" si="21"/>
        <v/>
      </c>
      <c r="B71" s="16"/>
      <c r="C71" s="17"/>
      <c r="D71" s="18"/>
      <c r="E71" s="29"/>
      <c r="F71" s="39"/>
      <c r="G71" s="40"/>
      <c r="H71" s="41"/>
      <c r="I71" s="42"/>
      <c r="J71" s="82">
        <f t="shared" si="22"/>
        <v>0</v>
      </c>
      <c r="K71" s="43"/>
      <c r="L71" s="83" t="str">
        <f t="shared" si="23"/>
        <v/>
      </c>
      <c r="M71" s="53"/>
      <c r="Q71" s="12"/>
      <c r="R71" s="36"/>
      <c r="S71" s="65"/>
      <c r="T71" s="37"/>
      <c r="U71" s="38"/>
      <c r="V71" s="31"/>
      <c r="W71" s="31"/>
      <c r="X71" s="46">
        <f t="shared" si="6"/>
        <v>0</v>
      </c>
      <c r="Y71" s="46">
        <f t="shared" si="7"/>
        <v>0</v>
      </c>
      <c r="AA71" s="29"/>
      <c r="AB71" s="39"/>
      <c r="AC71" s="40"/>
      <c r="AD71" s="53"/>
      <c r="AE71" s="59">
        <f t="shared" si="17"/>
        <v>0</v>
      </c>
      <c r="AF71" s="91"/>
      <c r="AG71" s="53" t="str">
        <f t="shared" si="18"/>
        <v/>
      </c>
      <c r="AK71" s="68"/>
      <c r="AL71" s="74"/>
      <c r="AM71" s="69"/>
      <c r="AN71" s="69">
        <f t="shared" si="20"/>
        <v>0</v>
      </c>
      <c r="AO71" s="86"/>
      <c r="AP71" s="69">
        <f t="shared" si="10"/>
        <v>0</v>
      </c>
      <c r="AQ71" s="86">
        <f t="shared" si="11"/>
        <v>0</v>
      </c>
      <c r="AR71" s="69">
        <f t="shared" si="14"/>
        <v>0</v>
      </c>
    </row>
    <row r="72" spans="1:44" x14ac:dyDescent="0.25">
      <c r="A72" s="12" t="str">
        <f t="shared" si="21"/>
        <v/>
      </c>
      <c r="B72" s="16"/>
      <c r="C72" s="17"/>
      <c r="D72" s="18"/>
      <c r="E72" s="29"/>
      <c r="F72" s="27"/>
      <c r="G72" s="28"/>
      <c r="H72" s="19"/>
      <c r="I72" s="23"/>
      <c r="J72" s="82">
        <f t="shared" si="22"/>
        <v>0</v>
      </c>
      <c r="K72" s="30"/>
      <c r="L72" s="83" t="str">
        <f t="shared" si="23"/>
        <v/>
      </c>
      <c r="M72" s="23"/>
      <c r="Q72" s="12"/>
      <c r="R72" s="36"/>
      <c r="S72" s="65"/>
      <c r="T72" s="44"/>
      <c r="U72" s="45"/>
      <c r="V72" s="46"/>
      <c r="W72" s="46"/>
      <c r="X72" s="46">
        <f t="shared" ref="X72:X135" si="24">IF(V72&gt;0,V72,0)</f>
        <v>0</v>
      </c>
      <c r="Y72" s="46">
        <f t="shared" ref="Y72:Y135" si="25">IF(V72&lt;0,V72,0)*-1</f>
        <v>0</v>
      </c>
      <c r="AA72" s="29"/>
      <c r="AB72" s="94"/>
      <c r="AC72" s="95"/>
      <c r="AD72" s="69"/>
      <c r="AE72" s="60">
        <f t="shared" si="17"/>
        <v>0</v>
      </c>
      <c r="AF72" s="96"/>
      <c r="AG72" s="69" t="str">
        <f t="shared" si="18"/>
        <v/>
      </c>
      <c r="AK72" s="67"/>
      <c r="AL72" s="73"/>
      <c r="AM72" s="53"/>
      <c r="AN72" s="53">
        <f t="shared" si="20"/>
        <v>0</v>
      </c>
      <c r="AO72" s="87"/>
      <c r="AP72" s="53">
        <f t="shared" ref="AP72:AP130" si="26">IFERROR(AM72-AN72*AO72,"-")</f>
        <v>0</v>
      </c>
      <c r="AQ72" s="87">
        <f t="shared" ref="AQ72:AQ130" si="27">IFERROR(AL72-AO72,"-")</f>
        <v>0</v>
      </c>
      <c r="AR72" s="53">
        <f t="shared" si="14"/>
        <v>0</v>
      </c>
    </row>
    <row r="73" spans="1:44" x14ac:dyDescent="0.25">
      <c r="A73" s="12" t="str">
        <f t="shared" si="21"/>
        <v/>
      </c>
      <c r="B73" s="16"/>
      <c r="C73" s="17"/>
      <c r="D73" s="18"/>
      <c r="E73" s="29"/>
      <c r="F73" s="39"/>
      <c r="G73" s="40"/>
      <c r="H73" s="41"/>
      <c r="I73" s="42"/>
      <c r="J73" s="82">
        <f t="shared" si="22"/>
        <v>0</v>
      </c>
      <c r="K73" s="43"/>
      <c r="L73" s="83" t="str">
        <f t="shared" si="23"/>
        <v/>
      </c>
      <c r="M73" s="53"/>
      <c r="Q73" s="12"/>
      <c r="R73" s="36"/>
      <c r="S73" s="65"/>
      <c r="T73" s="37"/>
      <c r="U73" s="38"/>
      <c r="V73" s="31"/>
      <c r="W73" s="31"/>
      <c r="X73" s="46">
        <f t="shared" si="24"/>
        <v>0</v>
      </c>
      <c r="Y73" s="46">
        <f t="shared" si="25"/>
        <v>0</v>
      </c>
      <c r="AA73" s="29"/>
      <c r="AB73" s="39"/>
      <c r="AC73" s="40"/>
      <c r="AD73" s="53"/>
      <c r="AE73" s="59">
        <f t="shared" si="17"/>
        <v>0</v>
      </c>
      <c r="AF73" s="91"/>
      <c r="AG73" s="53" t="str">
        <f t="shared" si="18"/>
        <v/>
      </c>
      <c r="AK73" s="68"/>
      <c r="AL73" s="74"/>
      <c r="AM73" s="69"/>
      <c r="AN73" s="69">
        <f t="shared" si="20"/>
        <v>0</v>
      </c>
      <c r="AO73" s="86"/>
      <c r="AP73" s="69">
        <f t="shared" si="26"/>
        <v>0</v>
      </c>
      <c r="AQ73" s="86">
        <f t="shared" si="27"/>
        <v>0</v>
      </c>
      <c r="AR73" s="69">
        <f t="shared" si="14"/>
        <v>0</v>
      </c>
    </row>
    <row r="74" spans="1:44" x14ac:dyDescent="0.25">
      <c r="A74" s="12" t="str">
        <f t="shared" si="21"/>
        <v/>
      </c>
      <c r="B74" s="16"/>
      <c r="C74" s="17"/>
      <c r="D74" s="18"/>
      <c r="E74" s="29"/>
      <c r="F74" s="27"/>
      <c r="G74" s="28"/>
      <c r="H74" s="19"/>
      <c r="I74" s="23"/>
      <c r="J74" s="82">
        <f t="shared" si="22"/>
        <v>0</v>
      </c>
      <c r="K74" s="30"/>
      <c r="L74" s="83" t="str">
        <f t="shared" si="23"/>
        <v/>
      </c>
      <c r="M74" s="23"/>
      <c r="Q74" s="12"/>
      <c r="R74" s="36"/>
      <c r="S74" s="65"/>
      <c r="T74" s="44"/>
      <c r="U74" s="45"/>
      <c r="V74" s="46"/>
      <c r="W74" s="46"/>
      <c r="X74" s="46">
        <f t="shared" si="24"/>
        <v>0</v>
      </c>
      <c r="Y74" s="46">
        <f t="shared" si="25"/>
        <v>0</v>
      </c>
      <c r="AA74" s="29"/>
      <c r="AB74" s="94"/>
      <c r="AC74" s="95"/>
      <c r="AD74" s="69"/>
      <c r="AE74" s="60">
        <f t="shared" si="17"/>
        <v>0</v>
      </c>
      <c r="AF74" s="96"/>
      <c r="AG74" s="69" t="str">
        <f t="shared" si="18"/>
        <v/>
      </c>
      <c r="AK74" s="67"/>
      <c r="AL74" s="73"/>
      <c r="AM74" s="53"/>
      <c r="AN74" s="53">
        <f t="shared" si="20"/>
        <v>0</v>
      </c>
      <c r="AO74" s="87"/>
      <c r="AP74" s="53">
        <f t="shared" si="26"/>
        <v>0</v>
      </c>
      <c r="AQ74" s="87">
        <f t="shared" si="27"/>
        <v>0</v>
      </c>
      <c r="AR74" s="53">
        <f t="shared" ref="AR74:AR130" si="28">IF(AL74=0,AN74,IFERROR(AP74/AQ74,0))</f>
        <v>0</v>
      </c>
    </row>
    <row r="75" spans="1:44" x14ac:dyDescent="0.25">
      <c r="A75" s="12" t="str">
        <f t="shared" si="21"/>
        <v/>
      </c>
      <c r="B75" s="16"/>
      <c r="C75" s="17"/>
      <c r="D75" s="18"/>
      <c r="E75" s="29"/>
      <c r="F75" s="39"/>
      <c r="G75" s="40"/>
      <c r="H75" s="41"/>
      <c r="I75" s="42"/>
      <c r="J75" s="82">
        <f t="shared" si="22"/>
        <v>0</v>
      </c>
      <c r="K75" s="43"/>
      <c r="L75" s="83" t="str">
        <f t="shared" si="23"/>
        <v/>
      </c>
      <c r="M75" s="53"/>
      <c r="Q75" s="12"/>
      <c r="R75" s="36"/>
      <c r="S75" s="65"/>
      <c r="T75" s="37"/>
      <c r="U75" s="38"/>
      <c r="V75" s="31"/>
      <c r="W75" s="31"/>
      <c r="X75" s="46">
        <f t="shared" si="24"/>
        <v>0</v>
      </c>
      <c r="Y75" s="46">
        <f t="shared" si="25"/>
        <v>0</v>
      </c>
      <c r="AA75" s="29"/>
      <c r="AB75" s="39"/>
      <c r="AC75" s="40"/>
      <c r="AD75" s="53"/>
      <c r="AE75" s="59">
        <f t="shared" si="17"/>
        <v>0</v>
      </c>
      <c r="AF75" s="91"/>
      <c r="AG75" s="53" t="str">
        <f t="shared" si="18"/>
        <v/>
      </c>
      <c r="AK75" s="68"/>
      <c r="AL75" s="74"/>
      <c r="AM75" s="69"/>
      <c r="AN75" s="69">
        <f t="shared" si="20"/>
        <v>0</v>
      </c>
      <c r="AO75" s="86"/>
      <c r="AP75" s="69">
        <f t="shared" si="26"/>
        <v>0</v>
      </c>
      <c r="AQ75" s="86">
        <f t="shared" si="27"/>
        <v>0</v>
      </c>
      <c r="AR75" s="69">
        <f t="shared" si="28"/>
        <v>0</v>
      </c>
    </row>
    <row r="76" spans="1:44" x14ac:dyDescent="0.25">
      <c r="A76" s="12" t="str">
        <f t="shared" si="21"/>
        <v/>
      </c>
      <c r="B76" s="16"/>
      <c r="C76" s="17"/>
      <c r="D76" s="18"/>
      <c r="E76" s="29"/>
      <c r="F76" s="27"/>
      <c r="G76" s="28"/>
      <c r="H76" s="19"/>
      <c r="I76" s="23"/>
      <c r="J76" s="82">
        <f t="shared" si="22"/>
        <v>0</v>
      </c>
      <c r="K76" s="30"/>
      <c r="L76" s="83" t="str">
        <f t="shared" si="23"/>
        <v/>
      </c>
      <c r="M76" s="23"/>
      <c r="Q76" s="12"/>
      <c r="R76" s="36"/>
      <c r="S76" s="65"/>
      <c r="T76" s="44"/>
      <c r="U76" s="45"/>
      <c r="V76" s="46"/>
      <c r="W76" s="46"/>
      <c r="X76" s="46">
        <f t="shared" si="24"/>
        <v>0</v>
      </c>
      <c r="Y76" s="46">
        <f t="shared" si="25"/>
        <v>0</v>
      </c>
      <c r="AA76" s="29"/>
      <c r="AB76" s="94"/>
      <c r="AC76" s="95"/>
      <c r="AD76" s="69"/>
      <c r="AE76" s="60">
        <f t="shared" si="17"/>
        <v>0</v>
      </c>
      <c r="AF76" s="96"/>
      <c r="AG76" s="69" t="str">
        <f t="shared" si="18"/>
        <v/>
      </c>
      <c r="AK76" s="67"/>
      <c r="AL76" s="73"/>
      <c r="AM76" s="53"/>
      <c r="AN76" s="53">
        <f t="shared" si="20"/>
        <v>0</v>
      </c>
      <c r="AO76" s="87"/>
      <c r="AP76" s="53">
        <f t="shared" si="26"/>
        <v>0</v>
      </c>
      <c r="AQ76" s="87">
        <f t="shared" si="27"/>
        <v>0</v>
      </c>
      <c r="AR76" s="53">
        <f t="shared" si="28"/>
        <v>0</v>
      </c>
    </row>
    <row r="77" spans="1:44" x14ac:dyDescent="0.25">
      <c r="A77" s="12" t="str">
        <f t="shared" si="21"/>
        <v/>
      </c>
      <c r="B77" s="16"/>
      <c r="C77" s="17"/>
      <c r="D77" s="18"/>
      <c r="E77" s="29"/>
      <c r="F77" s="39"/>
      <c r="G77" s="40"/>
      <c r="H77" s="41"/>
      <c r="I77" s="42"/>
      <c r="J77" s="82">
        <f t="shared" si="22"/>
        <v>0</v>
      </c>
      <c r="K77" s="43"/>
      <c r="L77" s="83" t="str">
        <f t="shared" si="23"/>
        <v/>
      </c>
      <c r="M77" s="53"/>
      <c r="Q77" s="12"/>
      <c r="R77" s="36"/>
      <c r="S77" s="65"/>
      <c r="T77" s="37"/>
      <c r="U77" s="38"/>
      <c r="V77" s="31"/>
      <c r="W77" s="31"/>
      <c r="X77" s="46">
        <f t="shared" si="24"/>
        <v>0</v>
      </c>
      <c r="Y77" s="46">
        <f t="shared" si="25"/>
        <v>0</v>
      </c>
      <c r="AA77" s="29"/>
      <c r="AB77" s="39"/>
      <c r="AC77" s="40"/>
      <c r="AD77" s="53"/>
      <c r="AE77" s="59">
        <f t="shared" ref="AE77:AE140" si="29">IF(AA77="entrada",AD77,AD77*-1)</f>
        <v>0</v>
      </c>
      <c r="AF77" s="91"/>
      <c r="AG77" s="53" t="str">
        <f t="shared" ref="AG77:AG140" si="30">IF(AE77=0,"",SUM(AG76,AE77))</f>
        <v/>
      </c>
      <c r="AK77" s="68"/>
      <c r="AL77" s="74"/>
      <c r="AM77" s="69"/>
      <c r="AN77" s="69">
        <f t="shared" si="20"/>
        <v>0</v>
      </c>
      <c r="AO77" s="86"/>
      <c r="AP77" s="69">
        <f t="shared" si="26"/>
        <v>0</v>
      </c>
      <c r="AQ77" s="86">
        <f t="shared" si="27"/>
        <v>0</v>
      </c>
      <c r="AR77" s="69">
        <f t="shared" si="28"/>
        <v>0</v>
      </c>
    </row>
    <row r="78" spans="1:44" x14ac:dyDescent="0.25">
      <c r="A78" s="12" t="str">
        <f t="shared" si="21"/>
        <v/>
      </c>
      <c r="B78" s="16"/>
      <c r="C78" s="17"/>
      <c r="D78" s="18"/>
      <c r="E78" s="29"/>
      <c r="F78" s="27"/>
      <c r="G78" s="28"/>
      <c r="H78" s="19"/>
      <c r="I78" s="23"/>
      <c r="J78" s="82">
        <f t="shared" si="22"/>
        <v>0</v>
      </c>
      <c r="K78" s="30"/>
      <c r="L78" s="83" t="str">
        <f t="shared" si="23"/>
        <v/>
      </c>
      <c r="M78" s="23"/>
      <c r="Q78" s="12"/>
      <c r="R78" s="36"/>
      <c r="S78" s="65"/>
      <c r="T78" s="44"/>
      <c r="U78" s="45"/>
      <c r="V78" s="46"/>
      <c r="W78" s="46"/>
      <c r="X78" s="46">
        <f t="shared" si="24"/>
        <v>0</v>
      </c>
      <c r="Y78" s="46">
        <f t="shared" si="25"/>
        <v>0</v>
      </c>
      <c r="AA78" s="29"/>
      <c r="AB78" s="94"/>
      <c r="AC78" s="95"/>
      <c r="AD78" s="69"/>
      <c r="AE78" s="60">
        <f t="shared" si="29"/>
        <v>0</v>
      </c>
      <c r="AF78" s="96"/>
      <c r="AG78" s="69" t="str">
        <f t="shared" si="30"/>
        <v/>
      </c>
      <c r="AK78" s="67"/>
      <c r="AL78" s="73"/>
      <c r="AM78" s="53"/>
      <c r="AN78" s="53">
        <f t="shared" si="20"/>
        <v>0</v>
      </c>
      <c r="AO78" s="87"/>
      <c r="AP78" s="53">
        <f t="shared" si="26"/>
        <v>0</v>
      </c>
      <c r="AQ78" s="87">
        <f t="shared" si="27"/>
        <v>0</v>
      </c>
      <c r="AR78" s="53">
        <f t="shared" si="28"/>
        <v>0</v>
      </c>
    </row>
    <row r="79" spans="1:44" x14ac:dyDescent="0.25">
      <c r="A79" s="12" t="str">
        <f t="shared" si="21"/>
        <v/>
      </c>
      <c r="B79" s="16"/>
      <c r="C79" s="17"/>
      <c r="D79" s="18"/>
      <c r="E79" s="29"/>
      <c r="F79" s="39"/>
      <c r="G79" s="40"/>
      <c r="H79" s="41"/>
      <c r="I79" s="42"/>
      <c r="J79" s="82">
        <f t="shared" si="22"/>
        <v>0</v>
      </c>
      <c r="K79" s="43"/>
      <c r="L79" s="83" t="str">
        <f t="shared" si="23"/>
        <v/>
      </c>
      <c r="M79" s="53"/>
      <c r="Q79" s="12"/>
      <c r="R79" s="36"/>
      <c r="S79" s="65"/>
      <c r="T79" s="37"/>
      <c r="U79" s="38"/>
      <c r="V79" s="31"/>
      <c r="W79" s="31"/>
      <c r="X79" s="46">
        <f t="shared" si="24"/>
        <v>0</v>
      </c>
      <c r="Y79" s="46">
        <f t="shared" si="25"/>
        <v>0</v>
      </c>
      <c r="AA79" s="29"/>
      <c r="AB79" s="39"/>
      <c r="AC79" s="40"/>
      <c r="AD79" s="53"/>
      <c r="AE79" s="59">
        <f t="shared" si="29"/>
        <v>0</v>
      </c>
      <c r="AF79" s="91"/>
      <c r="AG79" s="53" t="str">
        <f t="shared" si="30"/>
        <v/>
      </c>
      <c r="AK79" s="68"/>
      <c r="AL79" s="74"/>
      <c r="AM79" s="69"/>
      <c r="AN79" s="69">
        <f t="shared" si="20"/>
        <v>0</v>
      </c>
      <c r="AO79" s="86"/>
      <c r="AP79" s="69">
        <f t="shared" si="26"/>
        <v>0</v>
      </c>
      <c r="AQ79" s="86">
        <f t="shared" si="27"/>
        <v>0</v>
      </c>
      <c r="AR79" s="69">
        <f t="shared" si="28"/>
        <v>0</v>
      </c>
    </row>
    <row r="80" spans="1:44" x14ac:dyDescent="0.25">
      <c r="A80" s="12" t="str">
        <f t="shared" si="21"/>
        <v/>
      </c>
      <c r="B80" s="16"/>
      <c r="C80" s="17"/>
      <c r="D80" s="18"/>
      <c r="E80" s="29"/>
      <c r="F80" s="27"/>
      <c r="G80" s="28"/>
      <c r="H80" s="19"/>
      <c r="I80" s="23"/>
      <c r="J80" s="82">
        <f t="shared" si="22"/>
        <v>0</v>
      </c>
      <c r="K80" s="30"/>
      <c r="L80" s="83" t="str">
        <f t="shared" si="23"/>
        <v/>
      </c>
      <c r="M80" s="23"/>
      <c r="Q80" s="12"/>
      <c r="R80" s="36"/>
      <c r="S80" s="65"/>
      <c r="T80" s="44"/>
      <c r="U80" s="45"/>
      <c r="V80" s="46"/>
      <c r="W80" s="46"/>
      <c r="X80" s="46">
        <f t="shared" si="24"/>
        <v>0</v>
      </c>
      <c r="Y80" s="46">
        <f t="shared" si="25"/>
        <v>0</v>
      </c>
      <c r="AA80" s="29"/>
      <c r="AB80" s="94"/>
      <c r="AC80" s="95"/>
      <c r="AD80" s="69"/>
      <c r="AE80" s="60">
        <f t="shared" si="29"/>
        <v>0</v>
      </c>
      <c r="AF80" s="96"/>
      <c r="AG80" s="69" t="str">
        <f t="shared" si="30"/>
        <v/>
      </c>
      <c r="AK80" s="67"/>
      <c r="AL80" s="73"/>
      <c r="AM80" s="53"/>
      <c r="AN80" s="53">
        <f t="shared" ref="AN80:AN130" si="31">IFERROR(AM80/AL80,AM80)</f>
        <v>0</v>
      </c>
      <c r="AO80" s="87"/>
      <c r="AP80" s="53">
        <f t="shared" si="26"/>
        <v>0</v>
      </c>
      <c r="AQ80" s="87">
        <f t="shared" si="27"/>
        <v>0</v>
      </c>
      <c r="AR80" s="53">
        <f t="shared" si="28"/>
        <v>0</v>
      </c>
    </row>
    <row r="81" spans="1:44" x14ac:dyDescent="0.25">
      <c r="A81" s="12" t="str">
        <f t="shared" si="21"/>
        <v/>
      </c>
      <c r="B81" s="16"/>
      <c r="C81" s="17"/>
      <c r="D81" s="18"/>
      <c r="E81" s="29"/>
      <c r="F81" s="39"/>
      <c r="G81" s="40"/>
      <c r="H81" s="41"/>
      <c r="I81" s="42"/>
      <c r="J81" s="82">
        <f t="shared" si="22"/>
        <v>0</v>
      </c>
      <c r="K81" s="43"/>
      <c r="L81" s="83" t="str">
        <f t="shared" si="23"/>
        <v/>
      </c>
      <c r="M81" s="53"/>
      <c r="Q81" s="12"/>
      <c r="R81" s="36"/>
      <c r="S81" s="65"/>
      <c r="T81" s="37"/>
      <c r="U81" s="38"/>
      <c r="V81" s="31"/>
      <c r="W81" s="31"/>
      <c r="X81" s="46">
        <f t="shared" si="24"/>
        <v>0</v>
      </c>
      <c r="Y81" s="46">
        <f t="shared" si="25"/>
        <v>0</v>
      </c>
      <c r="AA81" s="29"/>
      <c r="AB81" s="39"/>
      <c r="AC81" s="40"/>
      <c r="AD81" s="53"/>
      <c r="AE81" s="59">
        <f t="shared" si="29"/>
        <v>0</v>
      </c>
      <c r="AF81" s="91"/>
      <c r="AG81" s="53" t="str">
        <f t="shared" si="30"/>
        <v/>
      </c>
      <c r="AK81" s="68"/>
      <c r="AL81" s="74"/>
      <c r="AM81" s="69"/>
      <c r="AN81" s="69">
        <f t="shared" si="31"/>
        <v>0</v>
      </c>
      <c r="AO81" s="86"/>
      <c r="AP81" s="69">
        <f t="shared" si="26"/>
        <v>0</v>
      </c>
      <c r="AQ81" s="86">
        <f t="shared" si="27"/>
        <v>0</v>
      </c>
      <c r="AR81" s="69">
        <f t="shared" si="28"/>
        <v>0</v>
      </c>
    </row>
    <row r="82" spans="1:44" x14ac:dyDescent="0.25">
      <c r="A82" s="12" t="str">
        <f t="shared" si="21"/>
        <v/>
      </c>
      <c r="B82" s="16"/>
      <c r="C82" s="17"/>
      <c r="D82" s="18"/>
      <c r="E82" s="29"/>
      <c r="F82" s="27"/>
      <c r="G82" s="28"/>
      <c r="H82" s="19"/>
      <c r="I82" s="23"/>
      <c r="J82" s="82">
        <f t="shared" si="22"/>
        <v>0</v>
      </c>
      <c r="K82" s="30"/>
      <c r="L82" s="83" t="str">
        <f t="shared" si="23"/>
        <v/>
      </c>
      <c r="M82" s="23"/>
      <c r="Q82" s="12"/>
      <c r="R82" s="36"/>
      <c r="S82" s="65"/>
      <c r="T82" s="44"/>
      <c r="U82" s="45"/>
      <c r="V82" s="46"/>
      <c r="W82" s="46"/>
      <c r="X82" s="46">
        <f t="shared" si="24"/>
        <v>0</v>
      </c>
      <c r="Y82" s="46">
        <f t="shared" si="25"/>
        <v>0</v>
      </c>
      <c r="AA82" s="29"/>
      <c r="AB82" s="94"/>
      <c r="AC82" s="95"/>
      <c r="AD82" s="69"/>
      <c r="AE82" s="60">
        <f t="shared" si="29"/>
        <v>0</v>
      </c>
      <c r="AF82" s="96"/>
      <c r="AG82" s="69" t="str">
        <f t="shared" si="30"/>
        <v/>
      </c>
      <c r="AK82" s="67"/>
      <c r="AL82" s="73"/>
      <c r="AM82" s="53"/>
      <c r="AN82" s="53">
        <f t="shared" si="31"/>
        <v>0</v>
      </c>
      <c r="AO82" s="87"/>
      <c r="AP82" s="53">
        <f t="shared" si="26"/>
        <v>0</v>
      </c>
      <c r="AQ82" s="87">
        <f t="shared" si="27"/>
        <v>0</v>
      </c>
      <c r="AR82" s="53">
        <f t="shared" si="28"/>
        <v>0</v>
      </c>
    </row>
    <row r="83" spans="1:44" x14ac:dyDescent="0.25">
      <c r="A83" s="12" t="str">
        <f t="shared" si="21"/>
        <v/>
      </c>
      <c r="B83" s="16"/>
      <c r="C83" s="17"/>
      <c r="D83" s="18"/>
      <c r="E83" s="29"/>
      <c r="F83" s="39"/>
      <c r="G83" s="40"/>
      <c r="H83" s="41"/>
      <c r="I83" s="42"/>
      <c r="J83" s="82">
        <f t="shared" si="22"/>
        <v>0</v>
      </c>
      <c r="K83" s="43"/>
      <c r="L83" s="83" t="str">
        <f t="shared" si="23"/>
        <v/>
      </c>
      <c r="M83" s="53"/>
      <c r="Q83" s="12"/>
      <c r="R83" s="36"/>
      <c r="S83" s="65"/>
      <c r="T83" s="37"/>
      <c r="U83" s="38"/>
      <c r="V83" s="31"/>
      <c r="W83" s="31"/>
      <c r="X83" s="46">
        <f t="shared" si="24"/>
        <v>0</v>
      </c>
      <c r="Y83" s="46">
        <f t="shared" si="25"/>
        <v>0</v>
      </c>
      <c r="AA83" s="29"/>
      <c r="AB83" s="39"/>
      <c r="AC83" s="40"/>
      <c r="AD83" s="53"/>
      <c r="AE83" s="59">
        <f t="shared" si="29"/>
        <v>0</v>
      </c>
      <c r="AF83" s="91"/>
      <c r="AG83" s="53" t="str">
        <f t="shared" si="30"/>
        <v/>
      </c>
      <c r="AK83" s="68"/>
      <c r="AL83" s="74"/>
      <c r="AM83" s="69"/>
      <c r="AN83" s="69">
        <f t="shared" si="31"/>
        <v>0</v>
      </c>
      <c r="AO83" s="86"/>
      <c r="AP83" s="69">
        <f t="shared" si="26"/>
        <v>0</v>
      </c>
      <c r="AQ83" s="86">
        <f t="shared" si="27"/>
        <v>0</v>
      </c>
      <c r="AR83" s="69">
        <f t="shared" si="28"/>
        <v>0</v>
      </c>
    </row>
    <row r="84" spans="1:44" x14ac:dyDescent="0.25">
      <c r="A84" s="12" t="str">
        <f t="shared" si="21"/>
        <v/>
      </c>
      <c r="B84" s="16"/>
      <c r="C84" s="17"/>
      <c r="D84" s="18"/>
      <c r="E84" s="29"/>
      <c r="F84" s="27"/>
      <c r="G84" s="28"/>
      <c r="H84" s="19"/>
      <c r="I84" s="23"/>
      <c r="J84" s="82">
        <f t="shared" si="22"/>
        <v>0</v>
      </c>
      <c r="K84" s="30"/>
      <c r="L84" s="83" t="str">
        <f t="shared" si="23"/>
        <v/>
      </c>
      <c r="M84" s="23"/>
      <c r="Q84" s="12"/>
      <c r="R84" s="36"/>
      <c r="S84" s="65"/>
      <c r="T84" s="44"/>
      <c r="U84" s="45"/>
      <c r="V84" s="46"/>
      <c r="W84" s="46"/>
      <c r="X84" s="46">
        <f t="shared" si="24"/>
        <v>0</v>
      </c>
      <c r="Y84" s="46">
        <f t="shared" si="25"/>
        <v>0</v>
      </c>
      <c r="AA84" s="29"/>
      <c r="AB84" s="94"/>
      <c r="AC84" s="95"/>
      <c r="AD84" s="69"/>
      <c r="AE84" s="60">
        <f t="shared" si="29"/>
        <v>0</v>
      </c>
      <c r="AF84" s="96"/>
      <c r="AG84" s="69" t="str">
        <f t="shared" si="30"/>
        <v/>
      </c>
      <c r="AK84" s="67"/>
      <c r="AL84" s="73"/>
      <c r="AM84" s="53"/>
      <c r="AN84" s="53">
        <f t="shared" si="31"/>
        <v>0</v>
      </c>
      <c r="AO84" s="87"/>
      <c r="AP84" s="53">
        <f t="shared" si="26"/>
        <v>0</v>
      </c>
      <c r="AQ84" s="87">
        <f t="shared" si="27"/>
        <v>0</v>
      </c>
      <c r="AR84" s="53">
        <f t="shared" si="28"/>
        <v>0</v>
      </c>
    </row>
    <row r="85" spans="1:44" x14ac:dyDescent="0.25">
      <c r="A85" s="12" t="str">
        <f t="shared" si="21"/>
        <v/>
      </c>
      <c r="B85" s="16"/>
      <c r="C85" s="17"/>
      <c r="D85" s="18"/>
      <c r="E85" s="29"/>
      <c r="F85" s="39"/>
      <c r="G85" s="40"/>
      <c r="H85" s="41"/>
      <c r="I85" s="42"/>
      <c r="J85" s="82">
        <f t="shared" si="22"/>
        <v>0</v>
      </c>
      <c r="K85" s="43"/>
      <c r="L85" s="83" t="str">
        <f t="shared" si="23"/>
        <v/>
      </c>
      <c r="M85" s="53"/>
      <c r="Q85" s="12"/>
      <c r="R85" s="36"/>
      <c r="S85" s="65"/>
      <c r="T85" s="37"/>
      <c r="U85" s="38"/>
      <c r="V85" s="31"/>
      <c r="W85" s="31"/>
      <c r="X85" s="46">
        <f t="shared" si="24"/>
        <v>0</v>
      </c>
      <c r="Y85" s="46">
        <f t="shared" si="25"/>
        <v>0</v>
      </c>
      <c r="AA85" s="29"/>
      <c r="AB85" s="39"/>
      <c r="AC85" s="40"/>
      <c r="AD85" s="53"/>
      <c r="AE85" s="59">
        <f t="shared" si="29"/>
        <v>0</v>
      </c>
      <c r="AF85" s="91"/>
      <c r="AG85" s="53" t="str">
        <f t="shared" si="30"/>
        <v/>
      </c>
      <c r="AK85" s="68"/>
      <c r="AL85" s="74"/>
      <c r="AM85" s="69"/>
      <c r="AN85" s="69">
        <f t="shared" si="31"/>
        <v>0</v>
      </c>
      <c r="AO85" s="86"/>
      <c r="AP85" s="69">
        <f t="shared" si="26"/>
        <v>0</v>
      </c>
      <c r="AQ85" s="86">
        <f t="shared" si="27"/>
        <v>0</v>
      </c>
      <c r="AR85" s="69">
        <f t="shared" si="28"/>
        <v>0</v>
      </c>
    </row>
    <row r="86" spans="1:44" x14ac:dyDescent="0.25">
      <c r="A86" s="12" t="str">
        <f t="shared" si="21"/>
        <v/>
      </c>
      <c r="B86" s="16"/>
      <c r="C86" s="17"/>
      <c r="D86" s="18"/>
      <c r="E86" s="29"/>
      <c r="F86" s="27"/>
      <c r="G86" s="28"/>
      <c r="H86" s="19"/>
      <c r="I86" s="23"/>
      <c r="J86" s="82">
        <f t="shared" si="22"/>
        <v>0</v>
      </c>
      <c r="K86" s="30"/>
      <c r="L86" s="83" t="str">
        <f t="shared" si="23"/>
        <v/>
      </c>
      <c r="M86" s="23"/>
      <c r="Q86" s="12"/>
      <c r="R86" s="36"/>
      <c r="S86" s="65"/>
      <c r="T86" s="44"/>
      <c r="U86" s="45"/>
      <c r="V86" s="46"/>
      <c r="W86" s="46"/>
      <c r="X86" s="46">
        <f t="shared" si="24"/>
        <v>0</v>
      </c>
      <c r="Y86" s="46">
        <f t="shared" si="25"/>
        <v>0</v>
      </c>
      <c r="AA86" s="29"/>
      <c r="AB86" s="94"/>
      <c r="AC86" s="95"/>
      <c r="AD86" s="69"/>
      <c r="AE86" s="60">
        <f t="shared" si="29"/>
        <v>0</v>
      </c>
      <c r="AF86" s="96"/>
      <c r="AG86" s="69" t="str">
        <f t="shared" si="30"/>
        <v/>
      </c>
      <c r="AK86" s="67"/>
      <c r="AL86" s="73"/>
      <c r="AM86" s="53"/>
      <c r="AN86" s="53">
        <f t="shared" si="31"/>
        <v>0</v>
      </c>
      <c r="AO86" s="87"/>
      <c r="AP86" s="53">
        <f t="shared" si="26"/>
        <v>0</v>
      </c>
      <c r="AQ86" s="87">
        <f t="shared" si="27"/>
        <v>0</v>
      </c>
      <c r="AR86" s="53">
        <f t="shared" si="28"/>
        <v>0</v>
      </c>
    </row>
    <row r="87" spans="1:44" x14ac:dyDescent="0.25">
      <c r="A87" s="12" t="str">
        <f t="shared" si="21"/>
        <v/>
      </c>
      <c r="B87" s="16"/>
      <c r="C87" s="17"/>
      <c r="D87" s="18"/>
      <c r="E87" s="29"/>
      <c r="F87" s="39"/>
      <c r="G87" s="40"/>
      <c r="H87" s="41"/>
      <c r="I87" s="42"/>
      <c r="J87" s="82">
        <f t="shared" si="22"/>
        <v>0</v>
      </c>
      <c r="K87" s="43"/>
      <c r="L87" s="83" t="str">
        <f t="shared" si="23"/>
        <v/>
      </c>
      <c r="M87" s="53"/>
      <c r="Q87" s="12"/>
      <c r="R87" s="36"/>
      <c r="S87" s="65"/>
      <c r="T87" s="37"/>
      <c r="U87" s="38"/>
      <c r="V87" s="31"/>
      <c r="W87" s="31"/>
      <c r="X87" s="46">
        <f t="shared" si="24"/>
        <v>0</v>
      </c>
      <c r="Y87" s="46">
        <f t="shared" si="25"/>
        <v>0</v>
      </c>
      <c r="AA87" s="29"/>
      <c r="AB87" s="39"/>
      <c r="AC87" s="40"/>
      <c r="AD87" s="53"/>
      <c r="AE87" s="59">
        <f t="shared" si="29"/>
        <v>0</v>
      </c>
      <c r="AF87" s="91"/>
      <c r="AG87" s="53" t="str">
        <f t="shared" si="30"/>
        <v/>
      </c>
      <c r="AK87" s="68"/>
      <c r="AL87" s="74"/>
      <c r="AM87" s="69"/>
      <c r="AN87" s="69">
        <f t="shared" si="31"/>
        <v>0</v>
      </c>
      <c r="AO87" s="86"/>
      <c r="AP87" s="69">
        <f t="shared" si="26"/>
        <v>0</v>
      </c>
      <c r="AQ87" s="86">
        <f t="shared" si="27"/>
        <v>0</v>
      </c>
      <c r="AR87" s="69">
        <f t="shared" si="28"/>
        <v>0</v>
      </c>
    </row>
    <row r="88" spans="1:44" x14ac:dyDescent="0.25">
      <c r="A88" s="12" t="str">
        <f t="shared" si="21"/>
        <v/>
      </c>
      <c r="B88" s="16"/>
      <c r="C88" s="17"/>
      <c r="D88" s="18"/>
      <c r="E88" s="29"/>
      <c r="F88" s="27"/>
      <c r="G88" s="28"/>
      <c r="H88" s="19"/>
      <c r="I88" s="23"/>
      <c r="J88" s="82">
        <f t="shared" si="22"/>
        <v>0</v>
      </c>
      <c r="K88" s="30"/>
      <c r="L88" s="83" t="str">
        <f t="shared" si="23"/>
        <v/>
      </c>
      <c r="M88" s="23"/>
      <c r="Q88" s="12"/>
      <c r="R88" s="36"/>
      <c r="S88" s="65"/>
      <c r="T88" s="44"/>
      <c r="U88" s="45"/>
      <c r="V88" s="46"/>
      <c r="W88" s="46"/>
      <c r="X88" s="46">
        <f t="shared" si="24"/>
        <v>0</v>
      </c>
      <c r="Y88" s="46">
        <f t="shared" si="25"/>
        <v>0</v>
      </c>
      <c r="AA88" s="29"/>
      <c r="AB88" s="94"/>
      <c r="AC88" s="95"/>
      <c r="AD88" s="69"/>
      <c r="AE88" s="60">
        <f t="shared" si="29"/>
        <v>0</v>
      </c>
      <c r="AF88" s="96"/>
      <c r="AG88" s="69" t="str">
        <f t="shared" si="30"/>
        <v/>
      </c>
      <c r="AK88" s="67"/>
      <c r="AL88" s="73"/>
      <c r="AM88" s="53"/>
      <c r="AN88" s="53">
        <f t="shared" si="31"/>
        <v>0</v>
      </c>
      <c r="AO88" s="87"/>
      <c r="AP88" s="53">
        <f t="shared" si="26"/>
        <v>0</v>
      </c>
      <c r="AQ88" s="87">
        <f t="shared" si="27"/>
        <v>0</v>
      </c>
      <c r="AR88" s="53">
        <f t="shared" si="28"/>
        <v>0</v>
      </c>
    </row>
    <row r="89" spans="1:44" x14ac:dyDescent="0.25">
      <c r="A89" s="12" t="str">
        <f t="shared" si="21"/>
        <v/>
      </c>
      <c r="B89" s="16"/>
      <c r="C89" s="17"/>
      <c r="D89" s="18"/>
      <c r="E89" s="29"/>
      <c r="F89" s="39"/>
      <c r="G89" s="40"/>
      <c r="H89" s="41"/>
      <c r="I89" s="42"/>
      <c r="J89" s="82">
        <f t="shared" si="22"/>
        <v>0</v>
      </c>
      <c r="K89" s="43"/>
      <c r="L89" s="83" t="str">
        <f t="shared" si="23"/>
        <v/>
      </c>
      <c r="M89" s="53"/>
      <c r="Q89" s="12"/>
      <c r="R89" s="36"/>
      <c r="S89" s="65"/>
      <c r="T89" s="37"/>
      <c r="U89" s="38"/>
      <c r="V89" s="31"/>
      <c r="W89" s="31"/>
      <c r="X89" s="46">
        <f t="shared" si="24"/>
        <v>0</v>
      </c>
      <c r="Y89" s="46">
        <f t="shared" si="25"/>
        <v>0</v>
      </c>
      <c r="AA89" s="29"/>
      <c r="AB89" s="39"/>
      <c r="AC89" s="40"/>
      <c r="AD89" s="53"/>
      <c r="AE89" s="59">
        <f t="shared" si="29"/>
        <v>0</v>
      </c>
      <c r="AF89" s="91"/>
      <c r="AG89" s="53" t="str">
        <f t="shared" si="30"/>
        <v/>
      </c>
      <c r="AK89" s="68"/>
      <c r="AL89" s="74"/>
      <c r="AM89" s="69"/>
      <c r="AN89" s="69">
        <f t="shared" si="31"/>
        <v>0</v>
      </c>
      <c r="AO89" s="86"/>
      <c r="AP89" s="69">
        <f t="shared" si="26"/>
        <v>0</v>
      </c>
      <c r="AQ89" s="86">
        <f t="shared" si="27"/>
        <v>0</v>
      </c>
      <c r="AR89" s="69">
        <f t="shared" si="28"/>
        <v>0</v>
      </c>
    </row>
    <row r="90" spans="1:44" x14ac:dyDescent="0.25">
      <c r="A90" s="12" t="str">
        <f t="shared" si="21"/>
        <v/>
      </c>
      <c r="B90" s="16"/>
      <c r="C90" s="17"/>
      <c r="D90" s="18"/>
      <c r="E90" s="29"/>
      <c r="F90" s="27"/>
      <c r="G90" s="28"/>
      <c r="H90" s="19"/>
      <c r="I90" s="23"/>
      <c r="J90" s="82">
        <f t="shared" si="22"/>
        <v>0</v>
      </c>
      <c r="K90" s="30"/>
      <c r="L90" s="83" t="str">
        <f t="shared" si="23"/>
        <v/>
      </c>
      <c r="M90" s="23"/>
      <c r="Q90" s="12"/>
      <c r="R90" s="36"/>
      <c r="S90" s="65"/>
      <c r="T90" s="44"/>
      <c r="U90" s="45"/>
      <c r="V90" s="46"/>
      <c r="W90" s="46"/>
      <c r="X90" s="46">
        <f t="shared" si="24"/>
        <v>0</v>
      </c>
      <c r="Y90" s="46">
        <f t="shared" si="25"/>
        <v>0</v>
      </c>
      <c r="AA90" s="29"/>
      <c r="AB90" s="94"/>
      <c r="AC90" s="95"/>
      <c r="AD90" s="69"/>
      <c r="AE90" s="60">
        <f t="shared" si="29"/>
        <v>0</v>
      </c>
      <c r="AF90" s="96"/>
      <c r="AG90" s="69" t="str">
        <f t="shared" si="30"/>
        <v/>
      </c>
      <c r="AK90" s="67"/>
      <c r="AL90" s="73"/>
      <c r="AM90" s="53"/>
      <c r="AN90" s="53">
        <f t="shared" si="31"/>
        <v>0</v>
      </c>
      <c r="AO90" s="87"/>
      <c r="AP90" s="53">
        <f t="shared" si="26"/>
        <v>0</v>
      </c>
      <c r="AQ90" s="87">
        <f t="shared" si="27"/>
        <v>0</v>
      </c>
      <c r="AR90" s="53">
        <f t="shared" si="28"/>
        <v>0</v>
      </c>
    </row>
    <row r="91" spans="1:44" x14ac:dyDescent="0.25">
      <c r="A91" s="12" t="str">
        <f t="shared" si="21"/>
        <v/>
      </c>
      <c r="B91" s="16"/>
      <c r="C91" s="17"/>
      <c r="D91" s="18"/>
      <c r="E91" s="29"/>
      <c r="F91" s="39"/>
      <c r="G91" s="40"/>
      <c r="H91" s="41"/>
      <c r="I91" s="42"/>
      <c r="J91" s="82">
        <f t="shared" si="22"/>
        <v>0</v>
      </c>
      <c r="K91" s="43"/>
      <c r="L91" s="83" t="str">
        <f t="shared" si="23"/>
        <v/>
      </c>
      <c r="M91" s="53"/>
      <c r="Q91" s="12"/>
      <c r="R91" s="36"/>
      <c r="S91" s="65"/>
      <c r="T91" s="37"/>
      <c r="U91" s="38"/>
      <c r="V91" s="31"/>
      <c r="W91" s="31"/>
      <c r="X91" s="46">
        <f t="shared" si="24"/>
        <v>0</v>
      </c>
      <c r="Y91" s="46">
        <f t="shared" si="25"/>
        <v>0</v>
      </c>
      <c r="AA91" s="29"/>
      <c r="AB91" s="39"/>
      <c r="AC91" s="40"/>
      <c r="AD91" s="53"/>
      <c r="AE91" s="59">
        <f t="shared" si="29"/>
        <v>0</v>
      </c>
      <c r="AF91" s="91"/>
      <c r="AG91" s="53" t="str">
        <f t="shared" si="30"/>
        <v/>
      </c>
      <c r="AK91" s="68"/>
      <c r="AL91" s="74"/>
      <c r="AM91" s="69"/>
      <c r="AN91" s="69">
        <f t="shared" si="31"/>
        <v>0</v>
      </c>
      <c r="AO91" s="86"/>
      <c r="AP91" s="69">
        <f t="shared" si="26"/>
        <v>0</v>
      </c>
      <c r="AQ91" s="86">
        <f t="shared" si="27"/>
        <v>0</v>
      </c>
      <c r="AR91" s="69">
        <f t="shared" si="28"/>
        <v>0</v>
      </c>
    </row>
    <row r="92" spans="1:44" x14ac:dyDescent="0.25">
      <c r="A92" s="12" t="str">
        <f t="shared" si="21"/>
        <v/>
      </c>
      <c r="B92" s="16"/>
      <c r="C92" s="17"/>
      <c r="D92" s="18"/>
      <c r="E92" s="29"/>
      <c r="F92" s="27"/>
      <c r="G92" s="28"/>
      <c r="H92" s="19"/>
      <c r="I92" s="23"/>
      <c r="J92" s="82">
        <f t="shared" si="22"/>
        <v>0</v>
      </c>
      <c r="K92" s="30"/>
      <c r="L92" s="83" t="str">
        <f t="shared" si="23"/>
        <v/>
      </c>
      <c r="M92" s="23"/>
      <c r="Q92" s="12"/>
      <c r="R92" s="36"/>
      <c r="S92" s="65"/>
      <c r="T92" s="44"/>
      <c r="U92" s="45"/>
      <c r="V92" s="46"/>
      <c r="W92" s="46"/>
      <c r="X92" s="46">
        <f t="shared" si="24"/>
        <v>0</v>
      </c>
      <c r="Y92" s="46">
        <f t="shared" si="25"/>
        <v>0</v>
      </c>
      <c r="AA92" s="29"/>
      <c r="AB92" s="94"/>
      <c r="AC92" s="95"/>
      <c r="AD92" s="69"/>
      <c r="AE92" s="60">
        <f t="shared" si="29"/>
        <v>0</v>
      </c>
      <c r="AF92" s="96"/>
      <c r="AG92" s="69" t="str">
        <f t="shared" si="30"/>
        <v/>
      </c>
      <c r="AK92" s="67"/>
      <c r="AL92" s="73"/>
      <c r="AM92" s="53"/>
      <c r="AN92" s="53">
        <f t="shared" si="31"/>
        <v>0</v>
      </c>
      <c r="AO92" s="87"/>
      <c r="AP92" s="53">
        <f t="shared" si="26"/>
        <v>0</v>
      </c>
      <c r="AQ92" s="87">
        <f t="shared" si="27"/>
        <v>0</v>
      </c>
      <c r="AR92" s="53">
        <f t="shared" si="28"/>
        <v>0</v>
      </c>
    </row>
    <row r="93" spans="1:44" x14ac:dyDescent="0.25">
      <c r="A93" s="12" t="str">
        <f t="shared" si="21"/>
        <v/>
      </c>
      <c r="B93" s="16"/>
      <c r="C93" s="17"/>
      <c r="D93" s="18"/>
      <c r="E93" s="29"/>
      <c r="F93" s="39"/>
      <c r="G93" s="40"/>
      <c r="H93" s="41"/>
      <c r="I93" s="42"/>
      <c r="J93" s="82">
        <f t="shared" si="22"/>
        <v>0</v>
      </c>
      <c r="K93" s="43"/>
      <c r="L93" s="83" t="str">
        <f t="shared" si="23"/>
        <v/>
      </c>
      <c r="M93" s="53"/>
      <c r="Q93" s="12"/>
      <c r="R93" s="36"/>
      <c r="S93" s="65"/>
      <c r="T93" s="37"/>
      <c r="U93" s="38"/>
      <c r="V93" s="31"/>
      <c r="W93" s="31"/>
      <c r="X93" s="46">
        <f t="shared" si="24"/>
        <v>0</v>
      </c>
      <c r="Y93" s="46">
        <f t="shared" si="25"/>
        <v>0</v>
      </c>
      <c r="AA93" s="29"/>
      <c r="AB93" s="39"/>
      <c r="AC93" s="40"/>
      <c r="AD93" s="53"/>
      <c r="AE93" s="59">
        <f t="shared" si="29"/>
        <v>0</v>
      </c>
      <c r="AF93" s="91"/>
      <c r="AG93" s="53" t="str">
        <f t="shared" si="30"/>
        <v/>
      </c>
      <c r="AK93" s="68"/>
      <c r="AL93" s="74"/>
      <c r="AM93" s="69"/>
      <c r="AN93" s="69">
        <f t="shared" si="31"/>
        <v>0</v>
      </c>
      <c r="AO93" s="86"/>
      <c r="AP93" s="69">
        <f t="shared" si="26"/>
        <v>0</v>
      </c>
      <c r="AQ93" s="86">
        <f t="shared" si="27"/>
        <v>0</v>
      </c>
      <c r="AR93" s="69">
        <f t="shared" si="28"/>
        <v>0</v>
      </c>
    </row>
    <row r="94" spans="1:44" x14ac:dyDescent="0.25">
      <c r="A94" s="12" t="str">
        <f t="shared" si="21"/>
        <v/>
      </c>
      <c r="B94" s="16"/>
      <c r="C94" s="17"/>
      <c r="D94" s="18"/>
      <c r="E94" s="29"/>
      <c r="F94" s="27"/>
      <c r="G94" s="28"/>
      <c r="H94" s="19"/>
      <c r="I94" s="23"/>
      <c r="J94" s="82">
        <f t="shared" si="22"/>
        <v>0</v>
      </c>
      <c r="K94" s="30"/>
      <c r="L94" s="83" t="str">
        <f t="shared" si="23"/>
        <v/>
      </c>
      <c r="M94" s="23"/>
      <c r="Q94" s="12"/>
      <c r="R94" s="36"/>
      <c r="S94" s="65"/>
      <c r="T94" s="44"/>
      <c r="U94" s="45"/>
      <c r="V94" s="46"/>
      <c r="W94" s="46"/>
      <c r="X94" s="46">
        <f t="shared" si="24"/>
        <v>0</v>
      </c>
      <c r="Y94" s="46">
        <f t="shared" si="25"/>
        <v>0</v>
      </c>
      <c r="AA94" s="29"/>
      <c r="AB94" s="94"/>
      <c r="AC94" s="95"/>
      <c r="AD94" s="69"/>
      <c r="AE94" s="60">
        <f t="shared" si="29"/>
        <v>0</v>
      </c>
      <c r="AF94" s="96"/>
      <c r="AG94" s="69" t="str">
        <f t="shared" si="30"/>
        <v/>
      </c>
      <c r="AK94" s="67"/>
      <c r="AL94" s="73"/>
      <c r="AM94" s="53"/>
      <c r="AN94" s="53">
        <f t="shared" si="31"/>
        <v>0</v>
      </c>
      <c r="AO94" s="87"/>
      <c r="AP94" s="53">
        <f t="shared" si="26"/>
        <v>0</v>
      </c>
      <c r="AQ94" s="87">
        <f t="shared" si="27"/>
        <v>0</v>
      </c>
      <c r="AR94" s="53">
        <f t="shared" si="28"/>
        <v>0</v>
      </c>
    </row>
    <row r="95" spans="1:44" x14ac:dyDescent="0.25">
      <c r="A95" s="12" t="str">
        <f t="shared" si="21"/>
        <v/>
      </c>
      <c r="B95" s="16"/>
      <c r="C95" s="17"/>
      <c r="D95" s="18"/>
      <c r="E95" s="29"/>
      <c r="F95" s="39"/>
      <c r="G95" s="40"/>
      <c r="H95" s="41"/>
      <c r="I95" s="42"/>
      <c r="J95" s="82">
        <f t="shared" si="22"/>
        <v>0</v>
      </c>
      <c r="K95" s="43"/>
      <c r="L95" s="83" t="str">
        <f t="shared" si="23"/>
        <v/>
      </c>
      <c r="M95" s="53"/>
      <c r="Q95" s="12"/>
      <c r="R95" s="36"/>
      <c r="S95" s="65"/>
      <c r="T95" s="37"/>
      <c r="U95" s="38"/>
      <c r="V95" s="31"/>
      <c r="W95" s="31"/>
      <c r="X95" s="46">
        <f t="shared" si="24"/>
        <v>0</v>
      </c>
      <c r="Y95" s="46">
        <f t="shared" si="25"/>
        <v>0</v>
      </c>
      <c r="AA95" s="29"/>
      <c r="AB95" s="39"/>
      <c r="AC95" s="40"/>
      <c r="AD95" s="53"/>
      <c r="AE95" s="59">
        <f t="shared" si="29"/>
        <v>0</v>
      </c>
      <c r="AF95" s="91"/>
      <c r="AG95" s="53" t="str">
        <f t="shared" si="30"/>
        <v/>
      </c>
      <c r="AK95" s="68"/>
      <c r="AL95" s="74"/>
      <c r="AM95" s="69"/>
      <c r="AN95" s="69">
        <f t="shared" si="31"/>
        <v>0</v>
      </c>
      <c r="AO95" s="86"/>
      <c r="AP95" s="69">
        <f t="shared" si="26"/>
        <v>0</v>
      </c>
      <c r="AQ95" s="86">
        <f t="shared" si="27"/>
        <v>0</v>
      </c>
      <c r="AR95" s="69">
        <f t="shared" si="28"/>
        <v>0</v>
      </c>
    </row>
    <row r="96" spans="1:44" x14ac:dyDescent="0.25">
      <c r="A96" s="12" t="str">
        <f t="shared" si="21"/>
        <v/>
      </c>
      <c r="B96" s="16"/>
      <c r="C96" s="17"/>
      <c r="D96" s="18"/>
      <c r="E96" s="29"/>
      <c r="F96" s="27"/>
      <c r="G96" s="28"/>
      <c r="H96" s="19"/>
      <c r="I96" s="23"/>
      <c r="J96" s="82">
        <f t="shared" si="22"/>
        <v>0</v>
      </c>
      <c r="K96" s="30"/>
      <c r="L96" s="83" t="str">
        <f t="shared" si="23"/>
        <v/>
      </c>
      <c r="M96" s="23"/>
      <c r="Q96" s="12"/>
      <c r="R96" s="36"/>
      <c r="S96" s="65"/>
      <c r="T96" s="44"/>
      <c r="U96" s="45"/>
      <c r="V96" s="46"/>
      <c r="W96" s="46"/>
      <c r="X96" s="46">
        <f t="shared" si="24"/>
        <v>0</v>
      </c>
      <c r="Y96" s="46">
        <f t="shared" si="25"/>
        <v>0</v>
      </c>
      <c r="AA96" s="29"/>
      <c r="AB96" s="94"/>
      <c r="AC96" s="95"/>
      <c r="AD96" s="69"/>
      <c r="AE96" s="60">
        <f t="shared" si="29"/>
        <v>0</v>
      </c>
      <c r="AF96" s="96"/>
      <c r="AG96" s="69" t="str">
        <f t="shared" si="30"/>
        <v/>
      </c>
      <c r="AK96" s="67"/>
      <c r="AL96" s="73"/>
      <c r="AM96" s="53"/>
      <c r="AN96" s="53">
        <f t="shared" si="31"/>
        <v>0</v>
      </c>
      <c r="AO96" s="87"/>
      <c r="AP96" s="53">
        <f t="shared" si="26"/>
        <v>0</v>
      </c>
      <c r="AQ96" s="87">
        <f t="shared" si="27"/>
        <v>0</v>
      </c>
      <c r="AR96" s="53">
        <f t="shared" si="28"/>
        <v>0</v>
      </c>
    </row>
    <row r="97" spans="1:44" x14ac:dyDescent="0.25">
      <c r="A97" s="12" t="str">
        <f t="shared" si="21"/>
        <v/>
      </c>
      <c r="B97" s="16"/>
      <c r="C97" s="17"/>
      <c r="D97" s="18"/>
      <c r="E97" s="29"/>
      <c r="F97" s="39"/>
      <c r="G97" s="40"/>
      <c r="H97" s="41"/>
      <c r="I97" s="42"/>
      <c r="J97" s="82">
        <f t="shared" si="22"/>
        <v>0</v>
      </c>
      <c r="K97" s="43"/>
      <c r="L97" s="83" t="str">
        <f t="shared" si="23"/>
        <v/>
      </c>
      <c r="M97" s="53"/>
      <c r="Q97" s="12"/>
      <c r="R97" s="36"/>
      <c r="S97" s="65"/>
      <c r="T97" s="37"/>
      <c r="U97" s="38"/>
      <c r="V97" s="31"/>
      <c r="W97" s="31"/>
      <c r="X97" s="46">
        <f t="shared" si="24"/>
        <v>0</v>
      </c>
      <c r="Y97" s="46">
        <f t="shared" si="25"/>
        <v>0</v>
      </c>
      <c r="AA97" s="29"/>
      <c r="AB97" s="39"/>
      <c r="AC97" s="40"/>
      <c r="AD97" s="53"/>
      <c r="AE97" s="59">
        <f t="shared" si="29"/>
        <v>0</v>
      </c>
      <c r="AF97" s="91"/>
      <c r="AG97" s="53" t="str">
        <f t="shared" si="30"/>
        <v/>
      </c>
      <c r="AK97" s="68"/>
      <c r="AL97" s="74"/>
      <c r="AM97" s="69"/>
      <c r="AN97" s="69">
        <f t="shared" si="31"/>
        <v>0</v>
      </c>
      <c r="AO97" s="86"/>
      <c r="AP97" s="69">
        <f t="shared" si="26"/>
        <v>0</v>
      </c>
      <c r="AQ97" s="86">
        <f t="shared" si="27"/>
        <v>0</v>
      </c>
      <c r="AR97" s="69">
        <f t="shared" si="28"/>
        <v>0</v>
      </c>
    </row>
    <row r="98" spans="1:44" x14ac:dyDescent="0.25">
      <c r="A98" s="12" t="str">
        <f t="shared" si="21"/>
        <v/>
      </c>
      <c r="B98" s="16"/>
      <c r="C98" s="17"/>
      <c r="D98" s="18"/>
      <c r="E98" s="29"/>
      <c r="F98" s="27"/>
      <c r="G98" s="28"/>
      <c r="H98" s="19"/>
      <c r="I98" s="23"/>
      <c r="J98" s="82">
        <f t="shared" si="22"/>
        <v>0</v>
      </c>
      <c r="K98" s="30"/>
      <c r="L98" s="83" t="str">
        <f t="shared" si="23"/>
        <v/>
      </c>
      <c r="M98" s="23"/>
      <c r="Q98" s="12"/>
      <c r="R98" s="36"/>
      <c r="S98" s="65"/>
      <c r="T98" s="44"/>
      <c r="U98" s="45"/>
      <c r="V98" s="46"/>
      <c r="W98" s="46"/>
      <c r="X98" s="46">
        <f t="shared" si="24"/>
        <v>0</v>
      </c>
      <c r="Y98" s="46">
        <f t="shared" si="25"/>
        <v>0</v>
      </c>
      <c r="AA98" s="29"/>
      <c r="AB98" s="94"/>
      <c r="AC98" s="95"/>
      <c r="AD98" s="69"/>
      <c r="AE98" s="60">
        <f t="shared" si="29"/>
        <v>0</v>
      </c>
      <c r="AF98" s="96"/>
      <c r="AG98" s="69" t="str">
        <f t="shared" si="30"/>
        <v/>
      </c>
      <c r="AK98" s="67"/>
      <c r="AL98" s="73"/>
      <c r="AM98" s="53"/>
      <c r="AN98" s="53">
        <f t="shared" si="31"/>
        <v>0</v>
      </c>
      <c r="AO98" s="87"/>
      <c r="AP98" s="53">
        <f t="shared" si="26"/>
        <v>0</v>
      </c>
      <c r="AQ98" s="87">
        <f t="shared" si="27"/>
        <v>0</v>
      </c>
      <c r="AR98" s="53">
        <f t="shared" si="28"/>
        <v>0</v>
      </c>
    </row>
    <row r="99" spans="1:44" x14ac:dyDescent="0.25">
      <c r="A99" s="12" t="str">
        <f t="shared" si="21"/>
        <v/>
      </c>
      <c r="B99" s="16"/>
      <c r="C99" s="17"/>
      <c r="D99" s="18"/>
      <c r="E99" s="29"/>
      <c r="F99" s="39"/>
      <c r="G99" s="40"/>
      <c r="H99" s="41"/>
      <c r="I99" s="42"/>
      <c r="J99" s="82">
        <f t="shared" si="22"/>
        <v>0</v>
      </c>
      <c r="K99" s="43"/>
      <c r="L99" s="83" t="str">
        <f t="shared" si="23"/>
        <v/>
      </c>
      <c r="M99" s="53"/>
      <c r="Q99" s="12"/>
      <c r="R99" s="36"/>
      <c r="S99" s="65"/>
      <c r="T99" s="37"/>
      <c r="U99" s="38"/>
      <c r="V99" s="31"/>
      <c r="W99" s="31"/>
      <c r="X99" s="46">
        <f t="shared" si="24"/>
        <v>0</v>
      </c>
      <c r="Y99" s="46">
        <f t="shared" si="25"/>
        <v>0</v>
      </c>
      <c r="AA99" s="29"/>
      <c r="AB99" s="39"/>
      <c r="AC99" s="40"/>
      <c r="AD99" s="53"/>
      <c r="AE99" s="59">
        <f t="shared" si="29"/>
        <v>0</v>
      </c>
      <c r="AF99" s="91"/>
      <c r="AG99" s="53" t="str">
        <f t="shared" si="30"/>
        <v/>
      </c>
      <c r="AK99" s="68"/>
      <c r="AL99" s="74"/>
      <c r="AM99" s="69"/>
      <c r="AN99" s="69">
        <f t="shared" si="31"/>
        <v>0</v>
      </c>
      <c r="AO99" s="86"/>
      <c r="AP99" s="69">
        <f t="shared" si="26"/>
        <v>0</v>
      </c>
      <c r="AQ99" s="86">
        <f t="shared" si="27"/>
        <v>0</v>
      </c>
      <c r="AR99" s="69">
        <f t="shared" si="28"/>
        <v>0</v>
      </c>
    </row>
    <row r="100" spans="1:44" x14ac:dyDescent="0.25">
      <c r="A100" s="12" t="str">
        <f t="shared" si="21"/>
        <v/>
      </c>
      <c r="B100" s="16"/>
      <c r="C100" s="17"/>
      <c r="D100" s="18"/>
      <c r="E100" s="29"/>
      <c r="F100" s="27"/>
      <c r="G100" s="28"/>
      <c r="H100" s="19"/>
      <c r="I100" s="23"/>
      <c r="J100" s="82">
        <f t="shared" si="22"/>
        <v>0</v>
      </c>
      <c r="K100" s="30"/>
      <c r="L100" s="83" t="str">
        <f t="shared" si="23"/>
        <v/>
      </c>
      <c r="M100" s="23"/>
      <c r="Q100" s="12"/>
      <c r="R100" s="36"/>
      <c r="S100" s="65"/>
      <c r="T100" s="44"/>
      <c r="U100" s="45"/>
      <c r="V100" s="46"/>
      <c r="W100" s="46"/>
      <c r="X100" s="46">
        <f t="shared" si="24"/>
        <v>0</v>
      </c>
      <c r="Y100" s="46">
        <f t="shared" si="25"/>
        <v>0</v>
      </c>
      <c r="AA100" s="29"/>
      <c r="AB100" s="94"/>
      <c r="AC100" s="95"/>
      <c r="AD100" s="69"/>
      <c r="AE100" s="60">
        <f t="shared" si="29"/>
        <v>0</v>
      </c>
      <c r="AF100" s="96"/>
      <c r="AG100" s="69" t="str">
        <f t="shared" si="30"/>
        <v/>
      </c>
      <c r="AK100" s="67"/>
      <c r="AL100" s="73"/>
      <c r="AM100" s="53"/>
      <c r="AN100" s="53">
        <f t="shared" si="31"/>
        <v>0</v>
      </c>
      <c r="AO100" s="87"/>
      <c r="AP100" s="53">
        <f t="shared" si="26"/>
        <v>0</v>
      </c>
      <c r="AQ100" s="87">
        <f t="shared" si="27"/>
        <v>0</v>
      </c>
      <c r="AR100" s="53">
        <f t="shared" si="28"/>
        <v>0</v>
      </c>
    </row>
    <row r="101" spans="1:44" x14ac:dyDescent="0.25">
      <c r="A101" s="12" t="str">
        <f t="shared" si="21"/>
        <v/>
      </c>
      <c r="B101" s="16"/>
      <c r="C101" s="17"/>
      <c r="D101" s="18"/>
      <c r="E101" s="29"/>
      <c r="F101" s="39"/>
      <c r="G101" s="40"/>
      <c r="H101" s="41"/>
      <c r="I101" s="42"/>
      <c r="J101" s="82">
        <f t="shared" si="22"/>
        <v>0</v>
      </c>
      <c r="K101" s="43"/>
      <c r="L101" s="83" t="str">
        <f t="shared" si="23"/>
        <v/>
      </c>
      <c r="M101" s="53"/>
      <c r="Q101" s="12"/>
      <c r="R101" s="36"/>
      <c r="S101" s="65"/>
      <c r="T101" s="37"/>
      <c r="U101" s="38"/>
      <c r="V101" s="31"/>
      <c r="W101" s="31"/>
      <c r="X101" s="46">
        <f t="shared" si="24"/>
        <v>0</v>
      </c>
      <c r="Y101" s="46">
        <f t="shared" si="25"/>
        <v>0</v>
      </c>
      <c r="AA101" s="29"/>
      <c r="AB101" s="39"/>
      <c r="AC101" s="40"/>
      <c r="AD101" s="53"/>
      <c r="AE101" s="59">
        <f t="shared" si="29"/>
        <v>0</v>
      </c>
      <c r="AF101" s="91"/>
      <c r="AG101" s="53" t="str">
        <f t="shared" si="30"/>
        <v/>
      </c>
      <c r="AK101" s="68"/>
      <c r="AL101" s="74"/>
      <c r="AM101" s="69"/>
      <c r="AN101" s="69">
        <f t="shared" si="31"/>
        <v>0</v>
      </c>
      <c r="AO101" s="86"/>
      <c r="AP101" s="69">
        <f t="shared" si="26"/>
        <v>0</v>
      </c>
      <c r="AQ101" s="86">
        <f t="shared" si="27"/>
        <v>0</v>
      </c>
      <c r="AR101" s="69">
        <f t="shared" si="28"/>
        <v>0</v>
      </c>
    </row>
    <row r="102" spans="1:44" x14ac:dyDescent="0.25">
      <c r="A102" s="12" t="str">
        <f t="shared" si="21"/>
        <v/>
      </c>
      <c r="B102" s="16"/>
      <c r="C102" s="17"/>
      <c r="D102" s="18"/>
      <c r="E102" s="29"/>
      <c r="F102" s="27"/>
      <c r="G102" s="28"/>
      <c r="H102" s="19"/>
      <c r="I102" s="23"/>
      <c r="J102" s="82">
        <f t="shared" si="22"/>
        <v>0</v>
      </c>
      <c r="K102" s="30"/>
      <c r="L102" s="83" t="str">
        <f t="shared" si="23"/>
        <v/>
      </c>
      <c r="M102" s="23"/>
      <c r="Q102" s="12"/>
      <c r="R102" s="36"/>
      <c r="S102" s="65"/>
      <c r="T102" s="44"/>
      <c r="U102" s="45"/>
      <c r="V102" s="46"/>
      <c r="W102" s="46"/>
      <c r="X102" s="46">
        <f t="shared" si="24"/>
        <v>0</v>
      </c>
      <c r="Y102" s="46">
        <f t="shared" si="25"/>
        <v>0</v>
      </c>
      <c r="AA102" s="29"/>
      <c r="AB102" s="94"/>
      <c r="AC102" s="95"/>
      <c r="AD102" s="69"/>
      <c r="AE102" s="60">
        <f t="shared" si="29"/>
        <v>0</v>
      </c>
      <c r="AF102" s="96"/>
      <c r="AG102" s="69" t="str">
        <f t="shared" si="30"/>
        <v/>
      </c>
      <c r="AK102" s="67"/>
      <c r="AL102" s="73"/>
      <c r="AM102" s="53"/>
      <c r="AN102" s="53">
        <f t="shared" si="31"/>
        <v>0</v>
      </c>
      <c r="AO102" s="87"/>
      <c r="AP102" s="53">
        <f t="shared" si="26"/>
        <v>0</v>
      </c>
      <c r="AQ102" s="87">
        <f t="shared" si="27"/>
        <v>0</v>
      </c>
      <c r="AR102" s="53">
        <f t="shared" si="28"/>
        <v>0</v>
      </c>
    </row>
    <row r="103" spans="1:44" x14ac:dyDescent="0.25">
      <c r="A103" s="12" t="str">
        <f t="shared" si="21"/>
        <v/>
      </c>
      <c r="B103" s="16"/>
      <c r="C103" s="17"/>
      <c r="D103" s="18"/>
      <c r="E103" s="29"/>
      <c r="F103" s="39"/>
      <c r="G103" s="40"/>
      <c r="H103" s="41"/>
      <c r="I103" s="42"/>
      <c r="J103" s="82">
        <f t="shared" si="22"/>
        <v>0</v>
      </c>
      <c r="K103" s="43"/>
      <c r="L103" s="83" t="str">
        <f t="shared" si="23"/>
        <v/>
      </c>
      <c r="M103" s="53"/>
      <c r="Q103" s="12"/>
      <c r="R103" s="36"/>
      <c r="S103" s="65"/>
      <c r="T103" s="37"/>
      <c r="U103" s="38"/>
      <c r="V103" s="31"/>
      <c r="W103" s="31"/>
      <c r="X103" s="46">
        <f t="shared" si="24"/>
        <v>0</v>
      </c>
      <c r="Y103" s="46">
        <f t="shared" si="25"/>
        <v>0</v>
      </c>
      <c r="AA103" s="29"/>
      <c r="AB103" s="39"/>
      <c r="AC103" s="40"/>
      <c r="AD103" s="53"/>
      <c r="AE103" s="59">
        <f t="shared" si="29"/>
        <v>0</v>
      </c>
      <c r="AF103" s="91"/>
      <c r="AG103" s="53" t="str">
        <f t="shared" si="30"/>
        <v/>
      </c>
      <c r="AK103" s="68"/>
      <c r="AL103" s="74"/>
      <c r="AM103" s="69"/>
      <c r="AN103" s="69">
        <f t="shared" si="31"/>
        <v>0</v>
      </c>
      <c r="AO103" s="86"/>
      <c r="AP103" s="69">
        <f t="shared" si="26"/>
        <v>0</v>
      </c>
      <c r="AQ103" s="86">
        <f t="shared" si="27"/>
        <v>0</v>
      </c>
      <c r="AR103" s="69">
        <f t="shared" si="28"/>
        <v>0</v>
      </c>
    </row>
    <row r="104" spans="1:44" x14ac:dyDescent="0.25">
      <c r="A104" s="12" t="str">
        <f t="shared" si="21"/>
        <v/>
      </c>
      <c r="B104" s="16"/>
      <c r="C104" s="17"/>
      <c r="D104" s="18"/>
      <c r="E104" s="29"/>
      <c r="F104" s="27"/>
      <c r="G104" s="28"/>
      <c r="H104" s="19"/>
      <c r="I104" s="23"/>
      <c r="J104" s="82">
        <f t="shared" si="22"/>
        <v>0</v>
      </c>
      <c r="K104" s="30"/>
      <c r="L104" s="83" t="str">
        <f t="shared" si="23"/>
        <v/>
      </c>
      <c r="M104" s="23"/>
      <c r="Q104" s="12"/>
      <c r="R104" s="36"/>
      <c r="S104" s="65"/>
      <c r="T104" s="44"/>
      <c r="U104" s="45"/>
      <c r="V104" s="46"/>
      <c r="W104" s="46"/>
      <c r="X104" s="46">
        <f t="shared" si="24"/>
        <v>0</v>
      </c>
      <c r="Y104" s="46">
        <f t="shared" si="25"/>
        <v>0</v>
      </c>
      <c r="AA104" s="29"/>
      <c r="AB104" s="94"/>
      <c r="AC104" s="95"/>
      <c r="AD104" s="69"/>
      <c r="AE104" s="60">
        <f t="shared" si="29"/>
        <v>0</v>
      </c>
      <c r="AF104" s="96"/>
      <c r="AG104" s="69" t="str">
        <f t="shared" si="30"/>
        <v/>
      </c>
      <c r="AK104" s="67"/>
      <c r="AL104" s="73"/>
      <c r="AM104" s="53"/>
      <c r="AN104" s="53">
        <f t="shared" si="31"/>
        <v>0</v>
      </c>
      <c r="AO104" s="87"/>
      <c r="AP104" s="53">
        <f t="shared" si="26"/>
        <v>0</v>
      </c>
      <c r="AQ104" s="87">
        <f t="shared" si="27"/>
        <v>0</v>
      </c>
      <c r="AR104" s="53">
        <f t="shared" si="28"/>
        <v>0</v>
      </c>
    </row>
    <row r="105" spans="1:44" x14ac:dyDescent="0.25">
      <c r="A105" s="12" t="str">
        <f t="shared" si="21"/>
        <v/>
      </c>
      <c r="B105" s="16"/>
      <c r="C105" s="17"/>
      <c r="D105" s="18"/>
      <c r="E105" s="29"/>
      <c r="F105" s="39"/>
      <c r="G105" s="40"/>
      <c r="H105" s="41"/>
      <c r="I105" s="42"/>
      <c r="J105" s="82">
        <f t="shared" si="22"/>
        <v>0</v>
      </c>
      <c r="K105" s="43"/>
      <c r="L105" s="83" t="str">
        <f t="shared" si="23"/>
        <v/>
      </c>
      <c r="M105" s="53"/>
      <c r="Q105" s="12"/>
      <c r="R105" s="36"/>
      <c r="S105" s="65"/>
      <c r="T105" s="37"/>
      <c r="U105" s="38"/>
      <c r="V105" s="31"/>
      <c r="W105" s="31"/>
      <c r="X105" s="46">
        <f t="shared" si="24"/>
        <v>0</v>
      </c>
      <c r="Y105" s="46">
        <f t="shared" si="25"/>
        <v>0</v>
      </c>
      <c r="AA105" s="29"/>
      <c r="AB105" s="39"/>
      <c r="AC105" s="40"/>
      <c r="AD105" s="53"/>
      <c r="AE105" s="59">
        <f t="shared" si="29"/>
        <v>0</v>
      </c>
      <c r="AF105" s="91"/>
      <c r="AG105" s="53" t="str">
        <f t="shared" si="30"/>
        <v/>
      </c>
      <c r="AK105" s="68"/>
      <c r="AL105" s="74"/>
      <c r="AM105" s="69"/>
      <c r="AN105" s="69">
        <f t="shared" si="31"/>
        <v>0</v>
      </c>
      <c r="AO105" s="86"/>
      <c r="AP105" s="69">
        <f t="shared" si="26"/>
        <v>0</v>
      </c>
      <c r="AQ105" s="86">
        <f t="shared" si="27"/>
        <v>0</v>
      </c>
      <c r="AR105" s="69">
        <f t="shared" si="28"/>
        <v>0</v>
      </c>
    </row>
    <row r="106" spans="1:44" x14ac:dyDescent="0.25">
      <c r="A106" s="12" t="str">
        <f t="shared" si="21"/>
        <v/>
      </c>
      <c r="B106" s="16"/>
      <c r="C106" s="17"/>
      <c r="D106" s="18"/>
      <c r="E106" s="29"/>
      <c r="F106" s="27"/>
      <c r="G106" s="28"/>
      <c r="H106" s="19"/>
      <c r="I106" s="23"/>
      <c r="J106" s="82">
        <f t="shared" si="22"/>
        <v>0</v>
      </c>
      <c r="K106" s="30"/>
      <c r="L106" s="83" t="str">
        <f t="shared" si="23"/>
        <v/>
      </c>
      <c r="M106" s="23"/>
      <c r="Q106" s="12"/>
      <c r="R106" s="36"/>
      <c r="S106" s="65"/>
      <c r="T106" s="44"/>
      <c r="U106" s="45"/>
      <c r="V106" s="46"/>
      <c r="W106" s="46"/>
      <c r="X106" s="46">
        <f t="shared" si="24"/>
        <v>0</v>
      </c>
      <c r="Y106" s="46">
        <f t="shared" si="25"/>
        <v>0</v>
      </c>
      <c r="AA106" s="29"/>
      <c r="AB106" s="94"/>
      <c r="AC106" s="95"/>
      <c r="AD106" s="69"/>
      <c r="AE106" s="60">
        <f t="shared" si="29"/>
        <v>0</v>
      </c>
      <c r="AF106" s="96"/>
      <c r="AG106" s="69" t="str">
        <f t="shared" si="30"/>
        <v/>
      </c>
      <c r="AK106" s="67"/>
      <c r="AL106" s="73"/>
      <c r="AM106" s="53"/>
      <c r="AN106" s="53">
        <f t="shared" si="31"/>
        <v>0</v>
      </c>
      <c r="AO106" s="87"/>
      <c r="AP106" s="53">
        <f t="shared" si="26"/>
        <v>0</v>
      </c>
      <c r="AQ106" s="87">
        <f t="shared" si="27"/>
        <v>0</v>
      </c>
      <c r="AR106" s="53">
        <f t="shared" si="28"/>
        <v>0</v>
      </c>
    </row>
    <row r="107" spans="1:44" x14ac:dyDescent="0.25">
      <c r="A107" s="12" t="str">
        <f t="shared" si="21"/>
        <v/>
      </c>
      <c r="B107" s="16"/>
      <c r="C107" s="17"/>
      <c r="D107" s="18"/>
      <c r="E107" s="29"/>
      <c r="F107" s="39"/>
      <c r="G107" s="40"/>
      <c r="H107" s="41"/>
      <c r="I107" s="42"/>
      <c r="J107" s="82">
        <f t="shared" si="22"/>
        <v>0</v>
      </c>
      <c r="K107" s="43"/>
      <c r="L107" s="83" t="str">
        <f t="shared" si="23"/>
        <v/>
      </c>
      <c r="M107" s="53"/>
      <c r="Q107" s="12"/>
      <c r="R107" s="36"/>
      <c r="S107" s="65"/>
      <c r="T107" s="37"/>
      <c r="U107" s="38"/>
      <c r="V107" s="31"/>
      <c r="W107" s="31"/>
      <c r="X107" s="46">
        <f t="shared" si="24"/>
        <v>0</v>
      </c>
      <c r="Y107" s="46">
        <f t="shared" si="25"/>
        <v>0</v>
      </c>
      <c r="AA107" s="29"/>
      <c r="AB107" s="39"/>
      <c r="AC107" s="40"/>
      <c r="AD107" s="53"/>
      <c r="AE107" s="59">
        <f t="shared" si="29"/>
        <v>0</v>
      </c>
      <c r="AF107" s="91"/>
      <c r="AG107" s="53" t="str">
        <f t="shared" si="30"/>
        <v/>
      </c>
      <c r="AK107" s="68"/>
      <c r="AL107" s="74"/>
      <c r="AM107" s="69"/>
      <c r="AN107" s="69">
        <f t="shared" si="31"/>
        <v>0</v>
      </c>
      <c r="AO107" s="86"/>
      <c r="AP107" s="69">
        <f t="shared" si="26"/>
        <v>0</v>
      </c>
      <c r="AQ107" s="86">
        <f t="shared" si="27"/>
        <v>0</v>
      </c>
      <c r="AR107" s="69">
        <f t="shared" si="28"/>
        <v>0</v>
      </c>
    </row>
    <row r="108" spans="1:44" x14ac:dyDescent="0.25">
      <c r="A108" s="12" t="str">
        <f t="shared" si="21"/>
        <v/>
      </c>
      <c r="B108" s="16"/>
      <c r="C108" s="17"/>
      <c r="D108" s="18"/>
      <c r="E108" s="29"/>
      <c r="F108" s="27"/>
      <c r="G108" s="28"/>
      <c r="H108" s="19"/>
      <c r="I108" s="23"/>
      <c r="J108" s="82">
        <f t="shared" si="22"/>
        <v>0</v>
      </c>
      <c r="K108" s="30"/>
      <c r="L108" s="83" t="str">
        <f t="shared" si="23"/>
        <v/>
      </c>
      <c r="M108" s="23"/>
      <c r="Q108" s="12"/>
      <c r="R108" s="36"/>
      <c r="S108" s="65"/>
      <c r="T108" s="44"/>
      <c r="U108" s="45"/>
      <c r="V108" s="46"/>
      <c r="W108" s="46"/>
      <c r="X108" s="46">
        <f t="shared" si="24"/>
        <v>0</v>
      </c>
      <c r="Y108" s="46">
        <f t="shared" si="25"/>
        <v>0</v>
      </c>
      <c r="AA108" s="29"/>
      <c r="AB108" s="94"/>
      <c r="AC108" s="95"/>
      <c r="AD108" s="69"/>
      <c r="AE108" s="60">
        <f t="shared" si="29"/>
        <v>0</v>
      </c>
      <c r="AF108" s="96"/>
      <c r="AG108" s="69" t="str">
        <f t="shared" si="30"/>
        <v/>
      </c>
      <c r="AK108" s="67"/>
      <c r="AL108" s="73"/>
      <c r="AM108" s="53"/>
      <c r="AN108" s="53">
        <f t="shared" si="31"/>
        <v>0</v>
      </c>
      <c r="AO108" s="87"/>
      <c r="AP108" s="53">
        <f t="shared" si="26"/>
        <v>0</v>
      </c>
      <c r="AQ108" s="87">
        <f t="shared" si="27"/>
        <v>0</v>
      </c>
      <c r="AR108" s="53">
        <f t="shared" si="28"/>
        <v>0</v>
      </c>
    </row>
    <row r="109" spans="1:44" x14ac:dyDescent="0.25">
      <c r="A109" s="12" t="str">
        <f t="shared" si="21"/>
        <v/>
      </c>
      <c r="B109" s="16"/>
      <c r="C109" s="17"/>
      <c r="D109" s="18"/>
      <c r="E109" s="29"/>
      <c r="F109" s="39"/>
      <c r="G109" s="40"/>
      <c r="H109" s="41"/>
      <c r="I109" s="42"/>
      <c r="J109" s="82">
        <f t="shared" si="22"/>
        <v>0</v>
      </c>
      <c r="K109" s="43"/>
      <c r="L109" s="83" t="str">
        <f t="shared" si="23"/>
        <v/>
      </c>
      <c r="M109" s="53"/>
      <c r="Q109" s="12"/>
      <c r="R109" s="36"/>
      <c r="S109" s="65"/>
      <c r="T109" s="37"/>
      <c r="U109" s="38"/>
      <c r="V109" s="31"/>
      <c r="W109" s="31"/>
      <c r="X109" s="46">
        <f t="shared" si="24"/>
        <v>0</v>
      </c>
      <c r="Y109" s="46">
        <f t="shared" si="25"/>
        <v>0</v>
      </c>
      <c r="AA109" s="29"/>
      <c r="AB109" s="39"/>
      <c r="AC109" s="40"/>
      <c r="AD109" s="53"/>
      <c r="AE109" s="59">
        <f t="shared" si="29"/>
        <v>0</v>
      </c>
      <c r="AF109" s="91"/>
      <c r="AG109" s="53" t="str">
        <f t="shared" si="30"/>
        <v/>
      </c>
      <c r="AK109" s="68"/>
      <c r="AL109" s="74"/>
      <c r="AM109" s="69"/>
      <c r="AN109" s="69">
        <f t="shared" si="31"/>
        <v>0</v>
      </c>
      <c r="AO109" s="86"/>
      <c r="AP109" s="69">
        <f t="shared" si="26"/>
        <v>0</v>
      </c>
      <c r="AQ109" s="86">
        <f t="shared" si="27"/>
        <v>0</v>
      </c>
      <c r="AR109" s="69">
        <f t="shared" si="28"/>
        <v>0</v>
      </c>
    </row>
    <row r="110" spans="1:44" x14ac:dyDescent="0.25">
      <c r="A110" s="12" t="str">
        <f t="shared" si="21"/>
        <v/>
      </c>
      <c r="B110" s="16"/>
      <c r="C110" s="17"/>
      <c r="D110" s="18"/>
      <c r="E110" s="29"/>
      <c r="F110" s="27"/>
      <c r="G110" s="28"/>
      <c r="H110" s="19"/>
      <c r="I110" s="23"/>
      <c r="J110" s="82">
        <f t="shared" si="22"/>
        <v>0</v>
      </c>
      <c r="K110" s="30"/>
      <c r="L110" s="83" t="str">
        <f t="shared" si="23"/>
        <v/>
      </c>
      <c r="M110" s="23"/>
      <c r="Q110" s="12"/>
      <c r="R110" s="36"/>
      <c r="S110" s="65"/>
      <c r="T110" s="44"/>
      <c r="U110" s="45"/>
      <c r="V110" s="46"/>
      <c r="W110" s="46"/>
      <c r="X110" s="46">
        <f t="shared" si="24"/>
        <v>0</v>
      </c>
      <c r="Y110" s="46">
        <f t="shared" si="25"/>
        <v>0</v>
      </c>
      <c r="AA110" s="29"/>
      <c r="AB110" s="94"/>
      <c r="AC110" s="95"/>
      <c r="AD110" s="69"/>
      <c r="AE110" s="60">
        <f t="shared" si="29"/>
        <v>0</v>
      </c>
      <c r="AF110" s="96"/>
      <c r="AG110" s="69" t="str">
        <f t="shared" si="30"/>
        <v/>
      </c>
      <c r="AK110" s="67"/>
      <c r="AL110" s="73"/>
      <c r="AM110" s="53"/>
      <c r="AN110" s="53">
        <f t="shared" si="31"/>
        <v>0</v>
      </c>
      <c r="AO110" s="87"/>
      <c r="AP110" s="53">
        <f t="shared" si="26"/>
        <v>0</v>
      </c>
      <c r="AQ110" s="87">
        <f t="shared" si="27"/>
        <v>0</v>
      </c>
      <c r="AR110" s="53">
        <f t="shared" si="28"/>
        <v>0</v>
      </c>
    </row>
    <row r="111" spans="1:44" x14ac:dyDescent="0.25">
      <c r="A111" s="12" t="str">
        <f t="shared" si="21"/>
        <v/>
      </c>
      <c r="B111" s="16"/>
      <c r="C111" s="17"/>
      <c r="D111" s="18"/>
      <c r="E111" s="29"/>
      <c r="F111" s="39"/>
      <c r="G111" s="40"/>
      <c r="H111" s="41"/>
      <c r="I111" s="42"/>
      <c r="J111" s="82">
        <f t="shared" si="22"/>
        <v>0</v>
      </c>
      <c r="K111" s="43"/>
      <c r="L111" s="83" t="str">
        <f t="shared" si="23"/>
        <v/>
      </c>
      <c r="M111" s="53"/>
      <c r="Q111" s="12"/>
      <c r="R111" s="36"/>
      <c r="S111" s="65"/>
      <c r="T111" s="37"/>
      <c r="U111" s="38"/>
      <c r="V111" s="31"/>
      <c r="W111" s="31"/>
      <c r="X111" s="46">
        <f t="shared" si="24"/>
        <v>0</v>
      </c>
      <c r="Y111" s="46">
        <f t="shared" si="25"/>
        <v>0</v>
      </c>
      <c r="AA111" s="29"/>
      <c r="AB111" s="39"/>
      <c r="AC111" s="40"/>
      <c r="AD111" s="53"/>
      <c r="AE111" s="59">
        <f t="shared" si="29"/>
        <v>0</v>
      </c>
      <c r="AF111" s="91"/>
      <c r="AG111" s="53" t="str">
        <f t="shared" si="30"/>
        <v/>
      </c>
      <c r="AK111" s="68"/>
      <c r="AL111" s="74"/>
      <c r="AM111" s="69"/>
      <c r="AN111" s="69">
        <f t="shared" si="31"/>
        <v>0</v>
      </c>
      <c r="AO111" s="86"/>
      <c r="AP111" s="69">
        <f t="shared" si="26"/>
        <v>0</v>
      </c>
      <c r="AQ111" s="86">
        <f t="shared" si="27"/>
        <v>0</v>
      </c>
      <c r="AR111" s="69">
        <f t="shared" si="28"/>
        <v>0</v>
      </c>
    </row>
    <row r="112" spans="1:44" x14ac:dyDescent="0.25">
      <c r="A112" s="12" t="str">
        <f t="shared" si="21"/>
        <v/>
      </c>
      <c r="B112" s="16"/>
      <c r="C112" s="17"/>
      <c r="D112" s="18"/>
      <c r="E112" s="29"/>
      <c r="F112" s="27"/>
      <c r="G112" s="28"/>
      <c r="H112" s="19"/>
      <c r="I112" s="23"/>
      <c r="J112" s="82">
        <f t="shared" si="22"/>
        <v>0</v>
      </c>
      <c r="K112" s="30"/>
      <c r="L112" s="83" t="str">
        <f t="shared" si="23"/>
        <v/>
      </c>
      <c r="M112" s="23"/>
      <c r="Q112" s="12"/>
      <c r="R112" s="36"/>
      <c r="S112" s="65"/>
      <c r="T112" s="44"/>
      <c r="U112" s="45"/>
      <c r="V112" s="46"/>
      <c r="W112" s="46"/>
      <c r="X112" s="46">
        <f t="shared" si="24"/>
        <v>0</v>
      </c>
      <c r="Y112" s="46">
        <f t="shared" si="25"/>
        <v>0</v>
      </c>
      <c r="AA112" s="29"/>
      <c r="AB112" s="94"/>
      <c r="AC112" s="95"/>
      <c r="AD112" s="69"/>
      <c r="AE112" s="60">
        <f t="shared" si="29"/>
        <v>0</v>
      </c>
      <c r="AF112" s="96"/>
      <c r="AG112" s="69" t="str">
        <f t="shared" si="30"/>
        <v/>
      </c>
      <c r="AK112" s="67"/>
      <c r="AL112" s="73"/>
      <c r="AM112" s="53"/>
      <c r="AN112" s="53">
        <f t="shared" si="31"/>
        <v>0</v>
      </c>
      <c r="AO112" s="87"/>
      <c r="AP112" s="53">
        <f t="shared" si="26"/>
        <v>0</v>
      </c>
      <c r="AQ112" s="87">
        <f t="shared" si="27"/>
        <v>0</v>
      </c>
      <c r="AR112" s="53">
        <f t="shared" si="28"/>
        <v>0</v>
      </c>
    </row>
    <row r="113" spans="1:44" x14ac:dyDescent="0.25">
      <c r="A113" s="12" t="str">
        <f t="shared" si="21"/>
        <v/>
      </c>
      <c r="B113" s="16"/>
      <c r="C113" s="17"/>
      <c r="D113" s="18"/>
      <c r="E113" s="29"/>
      <c r="F113" s="39"/>
      <c r="G113" s="40"/>
      <c r="H113" s="41"/>
      <c r="I113" s="42"/>
      <c r="J113" s="82">
        <f t="shared" si="22"/>
        <v>0</v>
      </c>
      <c r="K113" s="43"/>
      <c r="L113" s="83" t="str">
        <f t="shared" si="23"/>
        <v/>
      </c>
      <c r="M113" s="53"/>
      <c r="Q113" s="12"/>
      <c r="R113" s="36"/>
      <c r="S113" s="65"/>
      <c r="T113" s="37"/>
      <c r="U113" s="38"/>
      <c r="V113" s="31"/>
      <c r="W113" s="31"/>
      <c r="X113" s="46">
        <f t="shared" si="24"/>
        <v>0</v>
      </c>
      <c r="Y113" s="46">
        <f t="shared" si="25"/>
        <v>0</v>
      </c>
      <c r="AA113" s="29"/>
      <c r="AB113" s="39"/>
      <c r="AC113" s="40"/>
      <c r="AD113" s="53"/>
      <c r="AE113" s="59">
        <f t="shared" si="29"/>
        <v>0</v>
      </c>
      <c r="AF113" s="91"/>
      <c r="AG113" s="53" t="str">
        <f t="shared" si="30"/>
        <v/>
      </c>
      <c r="AK113" s="68"/>
      <c r="AL113" s="74"/>
      <c r="AM113" s="69"/>
      <c r="AN113" s="69">
        <f t="shared" si="31"/>
        <v>0</v>
      </c>
      <c r="AO113" s="86"/>
      <c r="AP113" s="69">
        <f t="shared" si="26"/>
        <v>0</v>
      </c>
      <c r="AQ113" s="86">
        <f t="shared" si="27"/>
        <v>0</v>
      </c>
      <c r="AR113" s="69">
        <f t="shared" si="28"/>
        <v>0</v>
      </c>
    </row>
    <row r="114" spans="1:44" x14ac:dyDescent="0.25">
      <c r="A114" s="12" t="str">
        <f t="shared" si="21"/>
        <v/>
      </c>
      <c r="B114" s="16"/>
      <c r="C114" s="17"/>
      <c r="D114" s="18"/>
      <c r="E114" s="29"/>
      <c r="F114" s="27"/>
      <c r="G114" s="28"/>
      <c r="H114" s="19"/>
      <c r="I114" s="23"/>
      <c r="J114" s="82">
        <f t="shared" si="22"/>
        <v>0</v>
      </c>
      <c r="K114" s="30"/>
      <c r="L114" s="83" t="str">
        <f t="shared" si="23"/>
        <v/>
      </c>
      <c r="M114" s="23"/>
      <c r="Q114" s="12"/>
      <c r="R114" s="36"/>
      <c r="S114" s="65"/>
      <c r="T114" s="44"/>
      <c r="U114" s="45"/>
      <c r="V114" s="46"/>
      <c r="W114" s="46"/>
      <c r="X114" s="46">
        <f t="shared" si="24"/>
        <v>0</v>
      </c>
      <c r="Y114" s="46">
        <f t="shared" si="25"/>
        <v>0</v>
      </c>
      <c r="AA114" s="29"/>
      <c r="AB114" s="94"/>
      <c r="AC114" s="95"/>
      <c r="AD114" s="69"/>
      <c r="AE114" s="60">
        <f t="shared" si="29"/>
        <v>0</v>
      </c>
      <c r="AF114" s="96"/>
      <c r="AG114" s="69" t="str">
        <f t="shared" si="30"/>
        <v/>
      </c>
      <c r="AK114" s="67"/>
      <c r="AL114" s="73"/>
      <c r="AM114" s="53"/>
      <c r="AN114" s="53">
        <f t="shared" si="31"/>
        <v>0</v>
      </c>
      <c r="AO114" s="87"/>
      <c r="AP114" s="53">
        <f t="shared" si="26"/>
        <v>0</v>
      </c>
      <c r="AQ114" s="87">
        <f t="shared" si="27"/>
        <v>0</v>
      </c>
      <c r="AR114" s="53">
        <f t="shared" si="28"/>
        <v>0</v>
      </c>
    </row>
    <row r="115" spans="1:44" x14ac:dyDescent="0.25">
      <c r="A115" s="12" t="str">
        <f t="shared" si="21"/>
        <v/>
      </c>
      <c r="B115" s="16"/>
      <c r="C115" s="17"/>
      <c r="D115" s="18"/>
      <c r="E115" s="29"/>
      <c r="F115" s="39"/>
      <c r="G115" s="40"/>
      <c r="H115" s="41"/>
      <c r="I115" s="42"/>
      <c r="J115" s="82">
        <f t="shared" si="22"/>
        <v>0</v>
      </c>
      <c r="K115" s="43"/>
      <c r="L115" s="83" t="str">
        <f t="shared" si="23"/>
        <v/>
      </c>
      <c r="M115" s="53"/>
      <c r="Q115" s="12"/>
      <c r="R115" s="36"/>
      <c r="S115" s="65"/>
      <c r="T115" s="37"/>
      <c r="U115" s="38"/>
      <c r="V115" s="31"/>
      <c r="W115" s="31"/>
      <c r="X115" s="46">
        <f t="shared" si="24"/>
        <v>0</v>
      </c>
      <c r="Y115" s="46">
        <f t="shared" si="25"/>
        <v>0</v>
      </c>
      <c r="AA115" s="29"/>
      <c r="AB115" s="39"/>
      <c r="AC115" s="40"/>
      <c r="AD115" s="53"/>
      <c r="AE115" s="59">
        <f t="shared" si="29"/>
        <v>0</v>
      </c>
      <c r="AF115" s="91"/>
      <c r="AG115" s="53" t="str">
        <f t="shared" si="30"/>
        <v/>
      </c>
      <c r="AK115" s="68"/>
      <c r="AL115" s="74"/>
      <c r="AM115" s="69"/>
      <c r="AN115" s="69">
        <f t="shared" si="31"/>
        <v>0</v>
      </c>
      <c r="AO115" s="86"/>
      <c r="AP115" s="69">
        <f t="shared" si="26"/>
        <v>0</v>
      </c>
      <c r="AQ115" s="86">
        <f t="shared" si="27"/>
        <v>0</v>
      </c>
      <c r="AR115" s="69">
        <f t="shared" si="28"/>
        <v>0</v>
      </c>
    </row>
    <row r="116" spans="1:44" x14ac:dyDescent="0.25">
      <c r="A116" s="12" t="str">
        <f t="shared" ref="A116:A179" si="32">IFERROR(DATE(B116,C116,D116),"")</f>
        <v/>
      </c>
      <c r="B116" s="16"/>
      <c r="C116" s="17"/>
      <c r="D116" s="18"/>
      <c r="E116" s="29"/>
      <c r="F116" s="27"/>
      <c r="G116" s="28"/>
      <c r="H116" s="19"/>
      <c r="I116" s="23"/>
      <c r="J116" s="82">
        <f t="shared" ref="J116:J179" si="33">IF(E116="entrada",H116*I116,H116*I116*-1)</f>
        <v>0</v>
      </c>
      <c r="K116" s="30"/>
      <c r="L116" s="83" t="str">
        <f t="shared" ref="L116:L179" si="34">IF(J116=0,"",SUM(L115,J116))</f>
        <v/>
      </c>
      <c r="M116" s="23"/>
      <c r="Q116" s="12"/>
      <c r="R116" s="36"/>
      <c r="S116" s="65"/>
      <c r="T116" s="44"/>
      <c r="U116" s="45"/>
      <c r="V116" s="46"/>
      <c r="W116" s="46"/>
      <c r="X116" s="46">
        <f t="shared" si="24"/>
        <v>0</v>
      </c>
      <c r="Y116" s="46">
        <f t="shared" si="25"/>
        <v>0</v>
      </c>
      <c r="AA116" s="29"/>
      <c r="AB116" s="94"/>
      <c r="AC116" s="95"/>
      <c r="AD116" s="69"/>
      <c r="AE116" s="60">
        <f t="shared" si="29"/>
        <v>0</v>
      </c>
      <c r="AF116" s="96"/>
      <c r="AG116" s="69" t="str">
        <f t="shared" si="30"/>
        <v/>
      </c>
      <c r="AK116" s="67"/>
      <c r="AL116" s="73"/>
      <c r="AM116" s="53"/>
      <c r="AN116" s="53">
        <f t="shared" si="31"/>
        <v>0</v>
      </c>
      <c r="AO116" s="87"/>
      <c r="AP116" s="53">
        <f t="shared" si="26"/>
        <v>0</v>
      </c>
      <c r="AQ116" s="87">
        <f t="shared" si="27"/>
        <v>0</v>
      </c>
      <c r="AR116" s="53">
        <f t="shared" si="28"/>
        <v>0</v>
      </c>
    </row>
    <row r="117" spans="1:44" x14ac:dyDescent="0.25">
      <c r="A117" s="12" t="str">
        <f t="shared" si="32"/>
        <v/>
      </c>
      <c r="B117" s="16"/>
      <c r="C117" s="17"/>
      <c r="D117" s="18"/>
      <c r="E117" s="29"/>
      <c r="F117" s="39"/>
      <c r="G117" s="40"/>
      <c r="H117" s="41"/>
      <c r="I117" s="42"/>
      <c r="J117" s="82">
        <f t="shared" si="33"/>
        <v>0</v>
      </c>
      <c r="K117" s="43"/>
      <c r="L117" s="83" t="str">
        <f t="shared" si="34"/>
        <v/>
      </c>
      <c r="M117" s="53"/>
      <c r="Q117" s="12"/>
      <c r="R117" s="36"/>
      <c r="S117" s="65"/>
      <c r="T117" s="37"/>
      <c r="U117" s="38"/>
      <c r="V117" s="31"/>
      <c r="W117" s="31"/>
      <c r="X117" s="46">
        <f t="shared" si="24"/>
        <v>0</v>
      </c>
      <c r="Y117" s="46">
        <f t="shared" si="25"/>
        <v>0</v>
      </c>
      <c r="AA117" s="29"/>
      <c r="AB117" s="39"/>
      <c r="AC117" s="40"/>
      <c r="AD117" s="53"/>
      <c r="AE117" s="59">
        <f t="shared" si="29"/>
        <v>0</v>
      </c>
      <c r="AF117" s="91"/>
      <c r="AG117" s="53" t="str">
        <f t="shared" si="30"/>
        <v/>
      </c>
      <c r="AK117" s="68"/>
      <c r="AL117" s="74"/>
      <c r="AM117" s="69"/>
      <c r="AN117" s="69">
        <f t="shared" si="31"/>
        <v>0</v>
      </c>
      <c r="AO117" s="86"/>
      <c r="AP117" s="69">
        <f t="shared" si="26"/>
        <v>0</v>
      </c>
      <c r="AQ117" s="86">
        <f t="shared" si="27"/>
        <v>0</v>
      </c>
      <c r="AR117" s="69">
        <f t="shared" si="28"/>
        <v>0</v>
      </c>
    </row>
    <row r="118" spans="1:44" x14ac:dyDescent="0.25">
      <c r="A118" s="12" t="str">
        <f t="shared" si="32"/>
        <v/>
      </c>
      <c r="B118" s="16"/>
      <c r="C118" s="17"/>
      <c r="D118" s="18"/>
      <c r="E118" s="29"/>
      <c r="F118" s="27"/>
      <c r="G118" s="28"/>
      <c r="H118" s="19"/>
      <c r="I118" s="23"/>
      <c r="J118" s="82">
        <f t="shared" si="33"/>
        <v>0</v>
      </c>
      <c r="K118" s="30"/>
      <c r="L118" s="83" t="str">
        <f t="shared" si="34"/>
        <v/>
      </c>
      <c r="M118" s="23"/>
      <c r="Q118" s="12"/>
      <c r="R118" s="36"/>
      <c r="S118" s="65"/>
      <c r="T118" s="44"/>
      <c r="U118" s="45"/>
      <c r="V118" s="46"/>
      <c r="W118" s="46"/>
      <c r="X118" s="46">
        <f t="shared" si="24"/>
        <v>0</v>
      </c>
      <c r="Y118" s="46">
        <f t="shared" si="25"/>
        <v>0</v>
      </c>
      <c r="AA118" s="29"/>
      <c r="AB118" s="94"/>
      <c r="AC118" s="95"/>
      <c r="AD118" s="69"/>
      <c r="AE118" s="60">
        <f t="shared" si="29"/>
        <v>0</v>
      </c>
      <c r="AF118" s="96"/>
      <c r="AG118" s="69" t="str">
        <f t="shared" si="30"/>
        <v/>
      </c>
      <c r="AK118" s="67"/>
      <c r="AL118" s="73"/>
      <c r="AM118" s="53"/>
      <c r="AN118" s="53">
        <f t="shared" si="31"/>
        <v>0</v>
      </c>
      <c r="AO118" s="87"/>
      <c r="AP118" s="53">
        <f t="shared" si="26"/>
        <v>0</v>
      </c>
      <c r="AQ118" s="87">
        <f t="shared" si="27"/>
        <v>0</v>
      </c>
      <c r="AR118" s="53">
        <f t="shared" si="28"/>
        <v>0</v>
      </c>
    </row>
    <row r="119" spans="1:44" x14ac:dyDescent="0.25">
      <c r="A119" s="12" t="str">
        <f t="shared" si="32"/>
        <v/>
      </c>
      <c r="B119" s="16"/>
      <c r="C119" s="17"/>
      <c r="D119" s="18"/>
      <c r="E119" s="29"/>
      <c r="F119" s="39"/>
      <c r="G119" s="40"/>
      <c r="H119" s="41"/>
      <c r="I119" s="42"/>
      <c r="J119" s="82">
        <f t="shared" si="33"/>
        <v>0</v>
      </c>
      <c r="K119" s="43"/>
      <c r="L119" s="83" t="str">
        <f t="shared" si="34"/>
        <v/>
      </c>
      <c r="M119" s="53"/>
      <c r="Q119" s="12"/>
      <c r="R119" s="36"/>
      <c r="S119" s="65"/>
      <c r="T119" s="37"/>
      <c r="U119" s="38"/>
      <c r="V119" s="31"/>
      <c r="W119" s="31"/>
      <c r="X119" s="46">
        <f t="shared" si="24"/>
        <v>0</v>
      </c>
      <c r="Y119" s="46">
        <f t="shared" si="25"/>
        <v>0</v>
      </c>
      <c r="AA119" s="29"/>
      <c r="AB119" s="39"/>
      <c r="AC119" s="40"/>
      <c r="AD119" s="53"/>
      <c r="AE119" s="59">
        <f t="shared" si="29"/>
        <v>0</v>
      </c>
      <c r="AF119" s="91"/>
      <c r="AG119" s="53" t="str">
        <f t="shared" si="30"/>
        <v/>
      </c>
      <c r="AK119" s="68"/>
      <c r="AL119" s="74"/>
      <c r="AM119" s="69"/>
      <c r="AN119" s="69">
        <f t="shared" si="31"/>
        <v>0</v>
      </c>
      <c r="AO119" s="86"/>
      <c r="AP119" s="69">
        <f t="shared" si="26"/>
        <v>0</v>
      </c>
      <c r="AQ119" s="86">
        <f t="shared" si="27"/>
        <v>0</v>
      </c>
      <c r="AR119" s="69">
        <f t="shared" si="28"/>
        <v>0</v>
      </c>
    </row>
    <row r="120" spans="1:44" x14ac:dyDescent="0.25">
      <c r="A120" s="12" t="str">
        <f t="shared" si="32"/>
        <v/>
      </c>
      <c r="B120" s="16"/>
      <c r="C120" s="17"/>
      <c r="D120" s="18"/>
      <c r="E120" s="29"/>
      <c r="F120" s="27"/>
      <c r="G120" s="28"/>
      <c r="H120" s="19"/>
      <c r="I120" s="23"/>
      <c r="J120" s="82">
        <f t="shared" si="33"/>
        <v>0</v>
      </c>
      <c r="K120" s="30"/>
      <c r="L120" s="83" t="str">
        <f t="shared" si="34"/>
        <v/>
      </c>
      <c r="M120" s="23"/>
      <c r="Q120" s="12"/>
      <c r="R120" s="36"/>
      <c r="S120" s="65"/>
      <c r="T120" s="44"/>
      <c r="U120" s="45"/>
      <c r="V120" s="46"/>
      <c r="W120" s="46"/>
      <c r="X120" s="46">
        <f t="shared" si="24"/>
        <v>0</v>
      </c>
      <c r="Y120" s="46">
        <f t="shared" si="25"/>
        <v>0</v>
      </c>
      <c r="AA120" s="29"/>
      <c r="AB120" s="94"/>
      <c r="AC120" s="95"/>
      <c r="AD120" s="69"/>
      <c r="AE120" s="60">
        <f t="shared" si="29"/>
        <v>0</v>
      </c>
      <c r="AF120" s="96"/>
      <c r="AG120" s="69" t="str">
        <f t="shared" si="30"/>
        <v/>
      </c>
      <c r="AK120" s="67"/>
      <c r="AL120" s="73"/>
      <c r="AM120" s="53"/>
      <c r="AN120" s="53">
        <f t="shared" si="31"/>
        <v>0</v>
      </c>
      <c r="AO120" s="87"/>
      <c r="AP120" s="53">
        <f t="shared" si="26"/>
        <v>0</v>
      </c>
      <c r="AQ120" s="87">
        <f t="shared" si="27"/>
        <v>0</v>
      </c>
      <c r="AR120" s="53">
        <f t="shared" si="28"/>
        <v>0</v>
      </c>
    </row>
    <row r="121" spans="1:44" x14ac:dyDescent="0.25">
      <c r="A121" s="12" t="str">
        <f t="shared" si="32"/>
        <v/>
      </c>
      <c r="B121" s="16"/>
      <c r="C121" s="17"/>
      <c r="D121" s="18"/>
      <c r="E121" s="29"/>
      <c r="F121" s="39"/>
      <c r="G121" s="40"/>
      <c r="H121" s="41"/>
      <c r="I121" s="42"/>
      <c r="J121" s="82">
        <f t="shared" si="33"/>
        <v>0</v>
      </c>
      <c r="K121" s="43"/>
      <c r="L121" s="83" t="str">
        <f t="shared" si="34"/>
        <v/>
      </c>
      <c r="M121" s="53"/>
      <c r="Q121" s="12"/>
      <c r="R121" s="36"/>
      <c r="S121" s="65"/>
      <c r="T121" s="37"/>
      <c r="U121" s="38"/>
      <c r="V121" s="31"/>
      <c r="W121" s="31"/>
      <c r="X121" s="46">
        <f t="shared" si="24"/>
        <v>0</v>
      </c>
      <c r="Y121" s="46">
        <f t="shared" si="25"/>
        <v>0</v>
      </c>
      <c r="AA121" s="29"/>
      <c r="AB121" s="39"/>
      <c r="AC121" s="40"/>
      <c r="AD121" s="53"/>
      <c r="AE121" s="59">
        <f t="shared" si="29"/>
        <v>0</v>
      </c>
      <c r="AF121" s="91"/>
      <c r="AG121" s="53" t="str">
        <f t="shared" si="30"/>
        <v/>
      </c>
      <c r="AK121" s="68"/>
      <c r="AL121" s="74"/>
      <c r="AM121" s="69"/>
      <c r="AN121" s="69">
        <f t="shared" si="31"/>
        <v>0</v>
      </c>
      <c r="AO121" s="86"/>
      <c r="AP121" s="69">
        <f t="shared" si="26"/>
        <v>0</v>
      </c>
      <c r="AQ121" s="86">
        <f t="shared" si="27"/>
        <v>0</v>
      </c>
      <c r="AR121" s="69">
        <f t="shared" si="28"/>
        <v>0</v>
      </c>
    </row>
    <row r="122" spans="1:44" x14ac:dyDescent="0.25">
      <c r="A122" s="12" t="str">
        <f t="shared" si="32"/>
        <v/>
      </c>
      <c r="B122" s="16"/>
      <c r="C122" s="17"/>
      <c r="D122" s="18"/>
      <c r="E122" s="29"/>
      <c r="F122" s="27"/>
      <c r="G122" s="28"/>
      <c r="H122" s="19"/>
      <c r="I122" s="23"/>
      <c r="J122" s="82">
        <f t="shared" si="33"/>
        <v>0</v>
      </c>
      <c r="K122" s="30"/>
      <c r="L122" s="83" t="str">
        <f t="shared" si="34"/>
        <v/>
      </c>
      <c r="M122" s="23"/>
      <c r="Q122" s="12"/>
      <c r="R122" s="36"/>
      <c r="S122" s="65"/>
      <c r="T122" s="44"/>
      <c r="U122" s="45"/>
      <c r="V122" s="46"/>
      <c r="W122" s="46"/>
      <c r="X122" s="46">
        <f t="shared" si="24"/>
        <v>0</v>
      </c>
      <c r="Y122" s="46">
        <f t="shared" si="25"/>
        <v>0</v>
      </c>
      <c r="AA122" s="29"/>
      <c r="AB122" s="94"/>
      <c r="AC122" s="95"/>
      <c r="AD122" s="69"/>
      <c r="AE122" s="60">
        <f t="shared" si="29"/>
        <v>0</v>
      </c>
      <c r="AF122" s="96"/>
      <c r="AG122" s="69" t="str">
        <f t="shared" si="30"/>
        <v/>
      </c>
      <c r="AK122" s="67"/>
      <c r="AL122" s="73"/>
      <c r="AM122" s="53"/>
      <c r="AN122" s="53">
        <f t="shared" si="31"/>
        <v>0</v>
      </c>
      <c r="AO122" s="87"/>
      <c r="AP122" s="53">
        <f t="shared" si="26"/>
        <v>0</v>
      </c>
      <c r="AQ122" s="87">
        <f t="shared" si="27"/>
        <v>0</v>
      </c>
      <c r="AR122" s="53">
        <f t="shared" si="28"/>
        <v>0</v>
      </c>
    </row>
    <row r="123" spans="1:44" x14ac:dyDescent="0.25">
      <c r="A123" s="12" t="str">
        <f t="shared" si="32"/>
        <v/>
      </c>
      <c r="B123" s="16"/>
      <c r="C123" s="17"/>
      <c r="D123" s="18"/>
      <c r="E123" s="29"/>
      <c r="F123" s="39"/>
      <c r="G123" s="40"/>
      <c r="H123" s="41"/>
      <c r="I123" s="42"/>
      <c r="J123" s="82">
        <f t="shared" si="33"/>
        <v>0</v>
      </c>
      <c r="K123" s="43"/>
      <c r="L123" s="83" t="str">
        <f t="shared" si="34"/>
        <v/>
      </c>
      <c r="M123" s="53"/>
      <c r="Q123" s="12"/>
      <c r="R123" s="36"/>
      <c r="S123" s="65"/>
      <c r="T123" s="37"/>
      <c r="U123" s="38"/>
      <c r="V123" s="31"/>
      <c r="W123" s="31"/>
      <c r="X123" s="46">
        <f t="shared" si="24"/>
        <v>0</v>
      </c>
      <c r="Y123" s="46">
        <f t="shared" si="25"/>
        <v>0</v>
      </c>
      <c r="AA123" s="29"/>
      <c r="AB123" s="39"/>
      <c r="AC123" s="40"/>
      <c r="AD123" s="53"/>
      <c r="AE123" s="59">
        <f t="shared" si="29"/>
        <v>0</v>
      </c>
      <c r="AF123" s="91"/>
      <c r="AG123" s="53" t="str">
        <f t="shared" si="30"/>
        <v/>
      </c>
      <c r="AK123" s="68"/>
      <c r="AL123" s="74"/>
      <c r="AM123" s="69"/>
      <c r="AN123" s="69">
        <f t="shared" si="31"/>
        <v>0</v>
      </c>
      <c r="AO123" s="86"/>
      <c r="AP123" s="69">
        <f t="shared" si="26"/>
        <v>0</v>
      </c>
      <c r="AQ123" s="86">
        <f t="shared" si="27"/>
        <v>0</v>
      </c>
      <c r="AR123" s="69">
        <f t="shared" si="28"/>
        <v>0</v>
      </c>
    </row>
    <row r="124" spans="1:44" x14ac:dyDescent="0.25">
      <c r="A124" s="12" t="str">
        <f t="shared" si="32"/>
        <v/>
      </c>
      <c r="B124" s="16"/>
      <c r="C124" s="17"/>
      <c r="D124" s="18"/>
      <c r="E124" s="29"/>
      <c r="F124" s="27"/>
      <c r="G124" s="28"/>
      <c r="H124" s="19"/>
      <c r="I124" s="23"/>
      <c r="J124" s="82">
        <f t="shared" si="33"/>
        <v>0</v>
      </c>
      <c r="K124" s="30"/>
      <c r="L124" s="83" t="str">
        <f t="shared" si="34"/>
        <v/>
      </c>
      <c r="M124" s="23"/>
      <c r="Q124" s="12"/>
      <c r="R124" s="36"/>
      <c r="S124" s="65"/>
      <c r="T124" s="44"/>
      <c r="U124" s="45"/>
      <c r="V124" s="46"/>
      <c r="W124" s="46"/>
      <c r="X124" s="46">
        <f t="shared" si="24"/>
        <v>0</v>
      </c>
      <c r="Y124" s="46">
        <f t="shared" si="25"/>
        <v>0</v>
      </c>
      <c r="AA124" s="29"/>
      <c r="AB124" s="94"/>
      <c r="AC124" s="95"/>
      <c r="AD124" s="69"/>
      <c r="AE124" s="60">
        <f t="shared" si="29"/>
        <v>0</v>
      </c>
      <c r="AF124" s="96"/>
      <c r="AG124" s="69" t="str">
        <f t="shared" si="30"/>
        <v/>
      </c>
      <c r="AK124" s="67"/>
      <c r="AL124" s="73"/>
      <c r="AM124" s="53"/>
      <c r="AN124" s="53">
        <f t="shared" si="31"/>
        <v>0</v>
      </c>
      <c r="AO124" s="87"/>
      <c r="AP124" s="53">
        <f t="shared" si="26"/>
        <v>0</v>
      </c>
      <c r="AQ124" s="87">
        <f t="shared" si="27"/>
        <v>0</v>
      </c>
      <c r="AR124" s="53">
        <f t="shared" si="28"/>
        <v>0</v>
      </c>
    </row>
    <row r="125" spans="1:44" x14ac:dyDescent="0.25">
      <c r="A125" s="12" t="str">
        <f t="shared" si="32"/>
        <v/>
      </c>
      <c r="B125" s="16"/>
      <c r="C125" s="17"/>
      <c r="D125" s="18"/>
      <c r="E125" s="29"/>
      <c r="F125" s="39"/>
      <c r="G125" s="40"/>
      <c r="H125" s="41"/>
      <c r="I125" s="42"/>
      <c r="J125" s="82">
        <f t="shared" si="33"/>
        <v>0</v>
      </c>
      <c r="K125" s="43"/>
      <c r="L125" s="83" t="str">
        <f t="shared" si="34"/>
        <v/>
      </c>
      <c r="M125" s="53"/>
      <c r="Q125" s="12"/>
      <c r="R125" s="36"/>
      <c r="S125" s="65"/>
      <c r="T125" s="37"/>
      <c r="U125" s="38"/>
      <c r="V125" s="31"/>
      <c r="W125" s="31"/>
      <c r="X125" s="46">
        <f t="shared" si="24"/>
        <v>0</v>
      </c>
      <c r="Y125" s="46">
        <f t="shared" si="25"/>
        <v>0</v>
      </c>
      <c r="AA125" s="29"/>
      <c r="AB125" s="39"/>
      <c r="AC125" s="40"/>
      <c r="AD125" s="53"/>
      <c r="AE125" s="59">
        <f t="shared" si="29"/>
        <v>0</v>
      </c>
      <c r="AF125" s="91"/>
      <c r="AG125" s="53" t="str">
        <f t="shared" si="30"/>
        <v/>
      </c>
      <c r="AK125" s="68"/>
      <c r="AL125" s="74"/>
      <c r="AM125" s="69"/>
      <c r="AN125" s="69">
        <f t="shared" si="31"/>
        <v>0</v>
      </c>
      <c r="AO125" s="86"/>
      <c r="AP125" s="69">
        <f t="shared" si="26"/>
        <v>0</v>
      </c>
      <c r="AQ125" s="86">
        <f t="shared" si="27"/>
        <v>0</v>
      </c>
      <c r="AR125" s="69">
        <f t="shared" si="28"/>
        <v>0</v>
      </c>
    </row>
    <row r="126" spans="1:44" x14ac:dyDescent="0.25">
      <c r="A126" s="12" t="str">
        <f t="shared" si="32"/>
        <v/>
      </c>
      <c r="B126" s="16"/>
      <c r="C126" s="17"/>
      <c r="D126" s="18"/>
      <c r="E126" s="29"/>
      <c r="F126" s="27"/>
      <c r="G126" s="28"/>
      <c r="H126" s="19"/>
      <c r="I126" s="23"/>
      <c r="J126" s="82">
        <f t="shared" si="33"/>
        <v>0</v>
      </c>
      <c r="K126" s="30"/>
      <c r="L126" s="83" t="str">
        <f t="shared" si="34"/>
        <v/>
      </c>
      <c r="M126" s="23"/>
      <c r="Q126" s="12"/>
      <c r="R126" s="36"/>
      <c r="S126" s="65"/>
      <c r="T126" s="44"/>
      <c r="U126" s="45"/>
      <c r="V126" s="46"/>
      <c r="W126" s="46"/>
      <c r="X126" s="46">
        <f t="shared" si="24"/>
        <v>0</v>
      </c>
      <c r="Y126" s="46">
        <f t="shared" si="25"/>
        <v>0</v>
      </c>
      <c r="AA126" s="29"/>
      <c r="AB126" s="94"/>
      <c r="AC126" s="95"/>
      <c r="AD126" s="69"/>
      <c r="AE126" s="60">
        <f t="shared" si="29"/>
        <v>0</v>
      </c>
      <c r="AF126" s="96"/>
      <c r="AG126" s="69" t="str">
        <f t="shared" si="30"/>
        <v/>
      </c>
      <c r="AK126" s="67"/>
      <c r="AL126" s="73"/>
      <c r="AM126" s="53"/>
      <c r="AN126" s="53">
        <f t="shared" si="31"/>
        <v>0</v>
      </c>
      <c r="AO126" s="87"/>
      <c r="AP126" s="53">
        <f t="shared" si="26"/>
        <v>0</v>
      </c>
      <c r="AQ126" s="87">
        <f t="shared" si="27"/>
        <v>0</v>
      </c>
      <c r="AR126" s="53">
        <f t="shared" si="28"/>
        <v>0</v>
      </c>
    </row>
    <row r="127" spans="1:44" x14ac:dyDescent="0.25">
      <c r="A127" s="12" t="str">
        <f t="shared" si="32"/>
        <v/>
      </c>
      <c r="B127" s="16"/>
      <c r="C127" s="17"/>
      <c r="D127" s="18"/>
      <c r="E127" s="29"/>
      <c r="F127" s="39"/>
      <c r="G127" s="40"/>
      <c r="H127" s="41"/>
      <c r="I127" s="42"/>
      <c r="J127" s="82">
        <f t="shared" si="33"/>
        <v>0</v>
      </c>
      <c r="K127" s="43"/>
      <c r="L127" s="83" t="str">
        <f t="shared" si="34"/>
        <v/>
      </c>
      <c r="M127" s="53"/>
      <c r="Q127" s="12"/>
      <c r="R127" s="36"/>
      <c r="S127" s="65"/>
      <c r="T127" s="37"/>
      <c r="U127" s="38"/>
      <c r="V127" s="31"/>
      <c r="W127" s="31"/>
      <c r="X127" s="46">
        <f t="shared" si="24"/>
        <v>0</v>
      </c>
      <c r="Y127" s="46">
        <f t="shared" si="25"/>
        <v>0</v>
      </c>
      <c r="AA127" s="29"/>
      <c r="AB127" s="39"/>
      <c r="AC127" s="40"/>
      <c r="AD127" s="53"/>
      <c r="AE127" s="59">
        <f t="shared" si="29"/>
        <v>0</v>
      </c>
      <c r="AF127" s="91"/>
      <c r="AG127" s="53" t="str">
        <f t="shared" si="30"/>
        <v/>
      </c>
      <c r="AK127" s="68"/>
      <c r="AL127" s="74"/>
      <c r="AM127" s="69"/>
      <c r="AN127" s="69">
        <f t="shared" si="31"/>
        <v>0</v>
      </c>
      <c r="AO127" s="86"/>
      <c r="AP127" s="69">
        <f t="shared" si="26"/>
        <v>0</v>
      </c>
      <c r="AQ127" s="86">
        <f t="shared" si="27"/>
        <v>0</v>
      </c>
      <c r="AR127" s="69">
        <f t="shared" si="28"/>
        <v>0</v>
      </c>
    </row>
    <row r="128" spans="1:44" x14ac:dyDescent="0.25">
      <c r="A128" s="12" t="str">
        <f t="shared" si="32"/>
        <v/>
      </c>
      <c r="B128" s="16"/>
      <c r="C128" s="17"/>
      <c r="D128" s="18"/>
      <c r="E128" s="29"/>
      <c r="F128" s="27"/>
      <c r="G128" s="28"/>
      <c r="H128" s="19"/>
      <c r="I128" s="23"/>
      <c r="J128" s="82">
        <f t="shared" si="33"/>
        <v>0</v>
      </c>
      <c r="K128" s="30"/>
      <c r="L128" s="83" t="str">
        <f t="shared" si="34"/>
        <v/>
      </c>
      <c r="M128" s="23"/>
      <c r="Q128" s="12"/>
      <c r="R128" s="36"/>
      <c r="S128" s="65"/>
      <c r="T128" s="44"/>
      <c r="U128" s="45"/>
      <c r="V128" s="46"/>
      <c r="W128" s="46"/>
      <c r="X128" s="46">
        <f t="shared" si="24"/>
        <v>0</v>
      </c>
      <c r="Y128" s="46">
        <f t="shared" si="25"/>
        <v>0</v>
      </c>
      <c r="AA128" s="29"/>
      <c r="AB128" s="94"/>
      <c r="AC128" s="95"/>
      <c r="AD128" s="69"/>
      <c r="AE128" s="60">
        <f t="shared" si="29"/>
        <v>0</v>
      </c>
      <c r="AF128" s="96"/>
      <c r="AG128" s="69" t="str">
        <f t="shared" si="30"/>
        <v/>
      </c>
      <c r="AK128" s="67"/>
      <c r="AL128" s="73"/>
      <c r="AM128" s="53"/>
      <c r="AN128" s="53">
        <f t="shared" si="31"/>
        <v>0</v>
      </c>
      <c r="AO128" s="87"/>
      <c r="AP128" s="53">
        <f t="shared" si="26"/>
        <v>0</v>
      </c>
      <c r="AQ128" s="87">
        <f t="shared" si="27"/>
        <v>0</v>
      </c>
      <c r="AR128" s="53">
        <f t="shared" si="28"/>
        <v>0</v>
      </c>
    </row>
    <row r="129" spans="1:44" x14ac:dyDescent="0.25">
      <c r="A129" s="12" t="str">
        <f t="shared" si="32"/>
        <v/>
      </c>
      <c r="B129" s="16"/>
      <c r="C129" s="17"/>
      <c r="D129" s="18"/>
      <c r="E129" s="29"/>
      <c r="F129" s="39"/>
      <c r="G129" s="40"/>
      <c r="H129" s="41"/>
      <c r="I129" s="42"/>
      <c r="J129" s="82">
        <f t="shared" si="33"/>
        <v>0</v>
      </c>
      <c r="K129" s="43"/>
      <c r="L129" s="83" t="str">
        <f t="shared" si="34"/>
        <v/>
      </c>
      <c r="M129" s="53"/>
      <c r="Q129" s="12"/>
      <c r="R129" s="36"/>
      <c r="S129" s="65"/>
      <c r="T129" s="37"/>
      <c r="U129" s="38"/>
      <c r="V129" s="31"/>
      <c r="W129" s="31"/>
      <c r="X129" s="46">
        <f t="shared" si="24"/>
        <v>0</v>
      </c>
      <c r="Y129" s="46">
        <f t="shared" si="25"/>
        <v>0</v>
      </c>
      <c r="AA129" s="29"/>
      <c r="AB129" s="39"/>
      <c r="AC129" s="40"/>
      <c r="AD129" s="53"/>
      <c r="AE129" s="59">
        <f t="shared" si="29"/>
        <v>0</v>
      </c>
      <c r="AF129" s="91"/>
      <c r="AG129" s="53" t="str">
        <f t="shared" si="30"/>
        <v/>
      </c>
      <c r="AK129" s="68"/>
      <c r="AL129" s="74"/>
      <c r="AM129" s="69"/>
      <c r="AN129" s="69">
        <f t="shared" si="31"/>
        <v>0</v>
      </c>
      <c r="AO129" s="86"/>
      <c r="AP129" s="69">
        <f t="shared" si="26"/>
        <v>0</v>
      </c>
      <c r="AQ129" s="86">
        <f t="shared" si="27"/>
        <v>0</v>
      </c>
      <c r="AR129" s="69">
        <f t="shared" si="28"/>
        <v>0</v>
      </c>
    </row>
    <row r="130" spans="1:44" x14ac:dyDescent="0.25">
      <c r="A130" s="12" t="str">
        <f t="shared" si="32"/>
        <v/>
      </c>
      <c r="B130" s="16"/>
      <c r="C130" s="17"/>
      <c r="D130" s="18"/>
      <c r="E130" s="29"/>
      <c r="F130" s="27"/>
      <c r="G130" s="28"/>
      <c r="H130" s="19"/>
      <c r="I130" s="23"/>
      <c r="J130" s="82">
        <f t="shared" si="33"/>
        <v>0</v>
      </c>
      <c r="K130" s="30"/>
      <c r="L130" s="83" t="str">
        <f t="shared" si="34"/>
        <v/>
      </c>
      <c r="M130" s="23"/>
      <c r="Q130" s="12"/>
      <c r="R130" s="36"/>
      <c r="S130" s="65"/>
      <c r="T130" s="44"/>
      <c r="U130" s="45"/>
      <c r="V130" s="46"/>
      <c r="W130" s="46"/>
      <c r="X130" s="46">
        <f t="shared" si="24"/>
        <v>0</v>
      </c>
      <c r="Y130" s="46">
        <f t="shared" si="25"/>
        <v>0</v>
      </c>
      <c r="AA130" s="29"/>
      <c r="AB130" s="94"/>
      <c r="AC130" s="95"/>
      <c r="AD130" s="69"/>
      <c r="AE130" s="60">
        <f t="shared" si="29"/>
        <v>0</v>
      </c>
      <c r="AF130" s="96"/>
      <c r="AG130" s="69" t="str">
        <f t="shared" si="30"/>
        <v/>
      </c>
      <c r="AK130" s="67"/>
      <c r="AL130" s="73"/>
      <c r="AM130" s="53"/>
      <c r="AN130" s="53">
        <f t="shared" si="31"/>
        <v>0</v>
      </c>
      <c r="AO130" s="87"/>
      <c r="AP130" s="53">
        <f t="shared" si="26"/>
        <v>0</v>
      </c>
      <c r="AQ130" s="87">
        <f t="shared" si="27"/>
        <v>0</v>
      </c>
      <c r="AR130" s="53">
        <f t="shared" si="28"/>
        <v>0</v>
      </c>
    </row>
    <row r="131" spans="1:44" x14ac:dyDescent="0.25">
      <c r="A131" s="12" t="str">
        <f t="shared" si="32"/>
        <v/>
      </c>
      <c r="B131" s="16"/>
      <c r="C131" s="17"/>
      <c r="D131" s="18"/>
      <c r="E131" s="29"/>
      <c r="F131" s="39"/>
      <c r="G131" s="40"/>
      <c r="H131" s="41"/>
      <c r="I131" s="42"/>
      <c r="J131" s="82">
        <f t="shared" si="33"/>
        <v>0</v>
      </c>
      <c r="K131" s="43"/>
      <c r="L131" s="83" t="str">
        <f t="shared" si="34"/>
        <v/>
      </c>
      <c r="M131" s="53"/>
      <c r="Q131" s="12"/>
      <c r="R131" s="36"/>
      <c r="S131" s="65"/>
      <c r="T131" s="37"/>
      <c r="U131" s="38"/>
      <c r="V131" s="31"/>
      <c r="W131" s="31"/>
      <c r="X131" s="46">
        <f t="shared" si="24"/>
        <v>0</v>
      </c>
      <c r="Y131" s="46">
        <f t="shared" si="25"/>
        <v>0</v>
      </c>
      <c r="AA131" s="29"/>
      <c r="AB131" s="39"/>
      <c r="AC131" s="40"/>
      <c r="AD131" s="53"/>
      <c r="AE131" s="59">
        <f t="shared" si="29"/>
        <v>0</v>
      </c>
      <c r="AF131" s="91"/>
      <c r="AG131" s="53" t="str">
        <f t="shared" si="30"/>
        <v/>
      </c>
    </row>
    <row r="132" spans="1:44" x14ac:dyDescent="0.25">
      <c r="A132" s="12" t="str">
        <f t="shared" si="32"/>
        <v/>
      </c>
      <c r="B132" s="16"/>
      <c r="C132" s="17"/>
      <c r="D132" s="18"/>
      <c r="E132" s="29"/>
      <c r="F132" s="27"/>
      <c r="G132" s="28"/>
      <c r="H132" s="19"/>
      <c r="I132" s="23"/>
      <c r="J132" s="82">
        <f t="shared" si="33"/>
        <v>0</v>
      </c>
      <c r="K132" s="30"/>
      <c r="L132" s="83" t="str">
        <f t="shared" si="34"/>
        <v/>
      </c>
      <c r="M132" s="23"/>
      <c r="Q132" s="12"/>
      <c r="R132" s="36"/>
      <c r="S132" s="65"/>
      <c r="T132" s="44"/>
      <c r="U132" s="45"/>
      <c r="V132" s="46"/>
      <c r="W132" s="46"/>
      <c r="X132" s="46">
        <f t="shared" si="24"/>
        <v>0</v>
      </c>
      <c r="Y132" s="46">
        <f t="shared" si="25"/>
        <v>0</v>
      </c>
      <c r="AA132" s="29"/>
      <c r="AB132" s="94"/>
      <c r="AC132" s="95"/>
      <c r="AD132" s="69"/>
      <c r="AE132" s="60">
        <f t="shared" si="29"/>
        <v>0</v>
      </c>
      <c r="AF132" s="96"/>
      <c r="AG132" s="69" t="str">
        <f t="shared" si="30"/>
        <v/>
      </c>
    </row>
    <row r="133" spans="1:44" x14ac:dyDescent="0.25">
      <c r="A133" s="12" t="str">
        <f t="shared" si="32"/>
        <v/>
      </c>
      <c r="B133" s="16"/>
      <c r="C133" s="17"/>
      <c r="D133" s="18"/>
      <c r="E133" s="29"/>
      <c r="F133" s="39"/>
      <c r="G133" s="40"/>
      <c r="H133" s="41"/>
      <c r="I133" s="42"/>
      <c r="J133" s="82">
        <f t="shared" si="33"/>
        <v>0</v>
      </c>
      <c r="K133" s="43"/>
      <c r="L133" s="83" t="str">
        <f t="shared" si="34"/>
        <v/>
      </c>
      <c r="M133" s="53"/>
      <c r="Q133" s="12"/>
      <c r="R133" s="36"/>
      <c r="S133" s="65"/>
      <c r="T133" s="37"/>
      <c r="U133" s="38"/>
      <c r="V133" s="31"/>
      <c r="W133" s="31"/>
      <c r="X133" s="46">
        <f t="shared" si="24"/>
        <v>0</v>
      </c>
      <c r="Y133" s="46">
        <f t="shared" si="25"/>
        <v>0</v>
      </c>
      <c r="AA133" s="29"/>
      <c r="AB133" s="39"/>
      <c r="AC133" s="40"/>
      <c r="AD133" s="53"/>
      <c r="AE133" s="59">
        <f t="shared" si="29"/>
        <v>0</v>
      </c>
      <c r="AF133" s="91"/>
      <c r="AG133" s="53" t="str">
        <f t="shared" si="30"/>
        <v/>
      </c>
    </row>
    <row r="134" spans="1:44" x14ac:dyDescent="0.25">
      <c r="A134" s="12" t="str">
        <f t="shared" si="32"/>
        <v/>
      </c>
      <c r="B134" s="16"/>
      <c r="C134" s="17"/>
      <c r="D134" s="18"/>
      <c r="E134" s="29"/>
      <c r="F134" s="27"/>
      <c r="G134" s="28"/>
      <c r="H134" s="19"/>
      <c r="I134" s="23"/>
      <c r="J134" s="82">
        <f t="shared" si="33"/>
        <v>0</v>
      </c>
      <c r="K134" s="30"/>
      <c r="L134" s="83" t="str">
        <f t="shared" si="34"/>
        <v/>
      </c>
      <c r="M134" s="23"/>
      <c r="Q134" s="12"/>
      <c r="R134" s="36"/>
      <c r="S134" s="65"/>
      <c r="T134" s="44"/>
      <c r="U134" s="45"/>
      <c r="V134" s="46"/>
      <c r="W134" s="46"/>
      <c r="X134" s="46">
        <f t="shared" si="24"/>
        <v>0</v>
      </c>
      <c r="Y134" s="46">
        <f t="shared" si="25"/>
        <v>0</v>
      </c>
      <c r="AA134" s="29"/>
      <c r="AB134" s="94"/>
      <c r="AC134" s="95"/>
      <c r="AD134" s="69"/>
      <c r="AE134" s="60">
        <f t="shared" si="29"/>
        <v>0</v>
      </c>
      <c r="AF134" s="96"/>
      <c r="AG134" s="69" t="str">
        <f t="shared" si="30"/>
        <v/>
      </c>
    </row>
    <row r="135" spans="1:44" x14ac:dyDescent="0.25">
      <c r="A135" s="12" t="str">
        <f t="shared" si="32"/>
        <v/>
      </c>
      <c r="B135" s="16"/>
      <c r="C135" s="17"/>
      <c r="D135" s="18"/>
      <c r="E135" s="29"/>
      <c r="F135" s="39"/>
      <c r="G135" s="40"/>
      <c r="H135" s="41"/>
      <c r="I135" s="42"/>
      <c r="J135" s="82">
        <f t="shared" si="33"/>
        <v>0</v>
      </c>
      <c r="K135" s="43"/>
      <c r="L135" s="83" t="str">
        <f t="shared" si="34"/>
        <v/>
      </c>
      <c r="M135" s="53"/>
      <c r="Q135" s="12"/>
      <c r="R135" s="36"/>
      <c r="S135" s="65"/>
      <c r="T135" s="37"/>
      <c r="U135" s="38"/>
      <c r="V135" s="31"/>
      <c r="W135" s="31"/>
      <c r="X135" s="46">
        <f t="shared" si="24"/>
        <v>0</v>
      </c>
      <c r="Y135" s="46">
        <f t="shared" si="25"/>
        <v>0</v>
      </c>
      <c r="AA135" s="29"/>
      <c r="AB135" s="39"/>
      <c r="AC135" s="40"/>
      <c r="AD135" s="53"/>
      <c r="AE135" s="59">
        <f t="shared" si="29"/>
        <v>0</v>
      </c>
      <c r="AF135" s="91"/>
      <c r="AG135" s="53" t="str">
        <f t="shared" si="30"/>
        <v/>
      </c>
    </row>
    <row r="136" spans="1:44" x14ac:dyDescent="0.25">
      <c r="A136" s="12" t="str">
        <f t="shared" si="32"/>
        <v/>
      </c>
      <c r="B136" s="16"/>
      <c r="C136" s="17"/>
      <c r="D136" s="18"/>
      <c r="E136" s="29"/>
      <c r="F136" s="27"/>
      <c r="G136" s="28"/>
      <c r="H136" s="19"/>
      <c r="I136" s="23"/>
      <c r="J136" s="82">
        <f t="shared" si="33"/>
        <v>0</v>
      </c>
      <c r="K136" s="30"/>
      <c r="L136" s="83" t="str">
        <f t="shared" si="34"/>
        <v/>
      </c>
      <c r="M136" s="23"/>
      <c r="Q136" s="12"/>
      <c r="R136" s="36"/>
      <c r="S136" s="65"/>
      <c r="T136" s="44"/>
      <c r="U136" s="45"/>
      <c r="V136" s="46"/>
      <c r="W136" s="46"/>
      <c r="X136" s="46">
        <f t="shared" ref="X136:X150" si="35">IF(V136&gt;0,V136,0)</f>
        <v>0</v>
      </c>
      <c r="Y136" s="46">
        <f t="shared" ref="Y136:Y150" si="36">IF(V136&lt;0,V136,0)*-1</f>
        <v>0</v>
      </c>
      <c r="AA136" s="29"/>
      <c r="AB136" s="94"/>
      <c r="AC136" s="95"/>
      <c r="AD136" s="69"/>
      <c r="AE136" s="60">
        <f t="shared" si="29"/>
        <v>0</v>
      </c>
      <c r="AF136" s="96"/>
      <c r="AG136" s="69" t="str">
        <f t="shared" si="30"/>
        <v/>
      </c>
    </row>
    <row r="137" spans="1:44" x14ac:dyDescent="0.25">
      <c r="A137" s="12" t="str">
        <f t="shared" si="32"/>
        <v/>
      </c>
      <c r="B137" s="16"/>
      <c r="C137" s="17"/>
      <c r="D137" s="18"/>
      <c r="E137" s="29"/>
      <c r="F137" s="39"/>
      <c r="G137" s="40"/>
      <c r="H137" s="41"/>
      <c r="I137" s="42"/>
      <c r="J137" s="82">
        <f t="shared" si="33"/>
        <v>0</v>
      </c>
      <c r="K137" s="43"/>
      <c r="L137" s="83" t="str">
        <f t="shared" si="34"/>
        <v/>
      </c>
      <c r="M137" s="53"/>
      <c r="Q137" s="12"/>
      <c r="R137" s="36"/>
      <c r="S137" s="65"/>
      <c r="T137" s="37"/>
      <c r="U137" s="38"/>
      <c r="V137" s="31"/>
      <c r="W137" s="31"/>
      <c r="X137" s="46">
        <f t="shared" si="35"/>
        <v>0</v>
      </c>
      <c r="Y137" s="46">
        <f t="shared" si="36"/>
        <v>0</v>
      </c>
      <c r="AA137" s="29"/>
      <c r="AB137" s="39"/>
      <c r="AC137" s="40"/>
      <c r="AD137" s="53"/>
      <c r="AE137" s="59">
        <f t="shared" si="29"/>
        <v>0</v>
      </c>
      <c r="AF137" s="91"/>
      <c r="AG137" s="53" t="str">
        <f t="shared" si="30"/>
        <v/>
      </c>
    </row>
    <row r="138" spans="1:44" x14ac:dyDescent="0.25">
      <c r="A138" s="12" t="str">
        <f t="shared" si="32"/>
        <v/>
      </c>
      <c r="B138" s="16"/>
      <c r="C138" s="17"/>
      <c r="D138" s="18"/>
      <c r="E138" s="29"/>
      <c r="F138" s="27"/>
      <c r="G138" s="28"/>
      <c r="H138" s="19"/>
      <c r="I138" s="23"/>
      <c r="J138" s="82">
        <f t="shared" si="33"/>
        <v>0</v>
      </c>
      <c r="K138" s="30"/>
      <c r="L138" s="83" t="str">
        <f t="shared" si="34"/>
        <v/>
      </c>
      <c r="M138" s="23"/>
      <c r="Q138" s="12"/>
      <c r="R138" s="36"/>
      <c r="S138" s="65"/>
      <c r="T138" s="44"/>
      <c r="U138" s="45"/>
      <c r="V138" s="46"/>
      <c r="W138" s="46"/>
      <c r="X138" s="46">
        <f t="shared" si="35"/>
        <v>0</v>
      </c>
      <c r="Y138" s="46">
        <f t="shared" si="36"/>
        <v>0</v>
      </c>
      <c r="AA138" s="29"/>
      <c r="AB138" s="94"/>
      <c r="AC138" s="95"/>
      <c r="AD138" s="69"/>
      <c r="AE138" s="60">
        <f t="shared" si="29"/>
        <v>0</v>
      </c>
      <c r="AF138" s="96"/>
      <c r="AG138" s="69" t="str">
        <f t="shared" si="30"/>
        <v/>
      </c>
    </row>
    <row r="139" spans="1:44" x14ac:dyDescent="0.25">
      <c r="A139" s="12" t="str">
        <f t="shared" si="32"/>
        <v/>
      </c>
      <c r="B139" s="16"/>
      <c r="C139" s="17"/>
      <c r="D139" s="18"/>
      <c r="E139" s="29"/>
      <c r="F139" s="39"/>
      <c r="G139" s="40"/>
      <c r="H139" s="41"/>
      <c r="I139" s="42"/>
      <c r="J139" s="82">
        <f t="shared" si="33"/>
        <v>0</v>
      </c>
      <c r="K139" s="43"/>
      <c r="L139" s="83" t="str">
        <f t="shared" si="34"/>
        <v/>
      </c>
      <c r="M139" s="53"/>
      <c r="Q139" s="12"/>
      <c r="R139" s="36"/>
      <c r="S139" s="65"/>
      <c r="T139" s="37"/>
      <c r="U139" s="38"/>
      <c r="V139" s="31"/>
      <c r="W139" s="31"/>
      <c r="X139" s="46">
        <f t="shared" si="35"/>
        <v>0</v>
      </c>
      <c r="Y139" s="46">
        <f t="shared" si="36"/>
        <v>0</v>
      </c>
      <c r="AA139" s="29"/>
      <c r="AB139" s="39"/>
      <c r="AC139" s="40"/>
      <c r="AD139" s="53"/>
      <c r="AE139" s="59">
        <f t="shared" si="29"/>
        <v>0</v>
      </c>
      <c r="AF139" s="91"/>
      <c r="AG139" s="53" t="str">
        <f t="shared" si="30"/>
        <v/>
      </c>
    </row>
    <row r="140" spans="1:44" x14ac:dyDescent="0.25">
      <c r="A140" s="12" t="str">
        <f t="shared" si="32"/>
        <v/>
      </c>
      <c r="B140" s="16"/>
      <c r="C140" s="17"/>
      <c r="D140" s="18"/>
      <c r="E140" s="29"/>
      <c r="F140" s="27"/>
      <c r="G140" s="28"/>
      <c r="H140" s="19"/>
      <c r="I140" s="23"/>
      <c r="J140" s="82">
        <f t="shared" si="33"/>
        <v>0</v>
      </c>
      <c r="K140" s="30"/>
      <c r="L140" s="83" t="str">
        <f t="shared" si="34"/>
        <v/>
      </c>
      <c r="M140" s="23"/>
      <c r="Q140" s="12"/>
      <c r="R140" s="36"/>
      <c r="S140" s="65"/>
      <c r="T140" s="44"/>
      <c r="U140" s="45"/>
      <c r="V140" s="46"/>
      <c r="W140" s="46"/>
      <c r="X140" s="46">
        <f t="shared" si="35"/>
        <v>0</v>
      </c>
      <c r="Y140" s="46">
        <f t="shared" si="36"/>
        <v>0</v>
      </c>
      <c r="AA140" s="29"/>
      <c r="AB140" s="94"/>
      <c r="AC140" s="95"/>
      <c r="AD140" s="69"/>
      <c r="AE140" s="60">
        <f t="shared" si="29"/>
        <v>0</v>
      </c>
      <c r="AF140" s="96"/>
      <c r="AG140" s="69" t="str">
        <f t="shared" si="30"/>
        <v/>
      </c>
    </row>
    <row r="141" spans="1:44" x14ac:dyDescent="0.25">
      <c r="A141" s="12" t="str">
        <f t="shared" si="32"/>
        <v/>
      </c>
      <c r="B141" s="16"/>
      <c r="C141" s="17"/>
      <c r="D141" s="18"/>
      <c r="E141" s="29"/>
      <c r="F141" s="39"/>
      <c r="G141" s="40"/>
      <c r="H141" s="41"/>
      <c r="I141" s="42"/>
      <c r="J141" s="82">
        <f t="shared" si="33"/>
        <v>0</v>
      </c>
      <c r="K141" s="43"/>
      <c r="L141" s="83" t="str">
        <f t="shared" si="34"/>
        <v/>
      </c>
      <c r="M141" s="53"/>
      <c r="Q141" s="12"/>
      <c r="R141" s="36"/>
      <c r="S141" s="65"/>
      <c r="T141" s="37"/>
      <c r="U141" s="38"/>
      <c r="V141" s="31"/>
      <c r="W141" s="31"/>
      <c r="X141" s="46">
        <f t="shared" si="35"/>
        <v>0</v>
      </c>
      <c r="Y141" s="46">
        <f t="shared" si="36"/>
        <v>0</v>
      </c>
      <c r="AA141" s="29"/>
      <c r="AB141" s="39"/>
      <c r="AC141" s="40"/>
      <c r="AD141" s="53"/>
      <c r="AE141" s="59">
        <f t="shared" ref="AE141:AE204" si="37">IF(AA141="entrada",AD141,AD141*-1)</f>
        <v>0</v>
      </c>
      <c r="AF141" s="91"/>
      <c r="AG141" s="53" t="str">
        <f t="shared" ref="AG141:AG204" si="38">IF(AE141=0,"",SUM(AG140,AE141))</f>
        <v/>
      </c>
    </row>
    <row r="142" spans="1:44" x14ac:dyDescent="0.25">
      <c r="A142" s="12" t="str">
        <f t="shared" si="32"/>
        <v/>
      </c>
      <c r="B142" s="16"/>
      <c r="C142" s="17"/>
      <c r="D142" s="18"/>
      <c r="E142" s="29"/>
      <c r="F142" s="27"/>
      <c r="G142" s="28"/>
      <c r="H142" s="19"/>
      <c r="I142" s="23"/>
      <c r="J142" s="82">
        <f t="shared" si="33"/>
        <v>0</v>
      </c>
      <c r="K142" s="30"/>
      <c r="L142" s="83" t="str">
        <f t="shared" si="34"/>
        <v/>
      </c>
      <c r="M142" s="23"/>
      <c r="Q142" s="12"/>
      <c r="R142" s="36"/>
      <c r="S142" s="65"/>
      <c r="T142" s="44"/>
      <c r="U142" s="45"/>
      <c r="V142" s="46"/>
      <c r="W142" s="46"/>
      <c r="X142" s="46">
        <f t="shared" si="35"/>
        <v>0</v>
      </c>
      <c r="Y142" s="46">
        <f t="shared" si="36"/>
        <v>0</v>
      </c>
      <c r="AA142" s="29"/>
      <c r="AB142" s="94"/>
      <c r="AC142" s="95"/>
      <c r="AD142" s="69"/>
      <c r="AE142" s="60">
        <f t="shared" si="37"/>
        <v>0</v>
      </c>
      <c r="AF142" s="96"/>
      <c r="AG142" s="69" t="str">
        <f t="shared" si="38"/>
        <v/>
      </c>
    </row>
    <row r="143" spans="1:44" x14ac:dyDescent="0.25">
      <c r="A143" s="12" t="str">
        <f t="shared" si="32"/>
        <v/>
      </c>
      <c r="B143" s="16"/>
      <c r="C143" s="17"/>
      <c r="D143" s="18"/>
      <c r="E143" s="29"/>
      <c r="F143" s="39"/>
      <c r="G143" s="40"/>
      <c r="H143" s="41"/>
      <c r="I143" s="42"/>
      <c r="J143" s="82">
        <f t="shared" si="33"/>
        <v>0</v>
      </c>
      <c r="K143" s="43"/>
      <c r="L143" s="83" t="str">
        <f t="shared" si="34"/>
        <v/>
      </c>
      <c r="M143" s="53"/>
      <c r="Q143" s="12"/>
      <c r="R143" s="36"/>
      <c r="S143" s="65"/>
      <c r="T143" s="37"/>
      <c r="U143" s="38"/>
      <c r="V143" s="31"/>
      <c r="W143" s="31"/>
      <c r="X143" s="46">
        <f t="shared" si="35"/>
        <v>0</v>
      </c>
      <c r="Y143" s="46">
        <f t="shared" si="36"/>
        <v>0</v>
      </c>
      <c r="AA143" s="29"/>
      <c r="AB143" s="39"/>
      <c r="AC143" s="40"/>
      <c r="AD143" s="53"/>
      <c r="AE143" s="59">
        <f t="shared" si="37"/>
        <v>0</v>
      </c>
      <c r="AF143" s="91"/>
      <c r="AG143" s="53" t="str">
        <f t="shared" si="38"/>
        <v/>
      </c>
    </row>
    <row r="144" spans="1:44" x14ac:dyDescent="0.25">
      <c r="A144" s="12" t="str">
        <f t="shared" si="32"/>
        <v/>
      </c>
      <c r="B144" s="16"/>
      <c r="C144" s="17"/>
      <c r="D144" s="18"/>
      <c r="E144" s="29"/>
      <c r="F144" s="27"/>
      <c r="G144" s="28"/>
      <c r="H144" s="19"/>
      <c r="I144" s="23"/>
      <c r="J144" s="82">
        <f t="shared" si="33"/>
        <v>0</v>
      </c>
      <c r="K144" s="30"/>
      <c r="L144" s="83" t="str">
        <f t="shared" si="34"/>
        <v/>
      </c>
      <c r="M144" s="23"/>
      <c r="Q144" s="12"/>
      <c r="R144" s="36"/>
      <c r="S144" s="65"/>
      <c r="T144" s="44"/>
      <c r="U144" s="45"/>
      <c r="V144" s="46"/>
      <c r="W144" s="46"/>
      <c r="X144" s="46">
        <f t="shared" si="35"/>
        <v>0</v>
      </c>
      <c r="Y144" s="46">
        <f t="shared" si="36"/>
        <v>0</v>
      </c>
      <c r="AA144" s="29"/>
      <c r="AB144" s="94"/>
      <c r="AC144" s="95"/>
      <c r="AD144" s="69"/>
      <c r="AE144" s="60">
        <f t="shared" si="37"/>
        <v>0</v>
      </c>
      <c r="AF144" s="96"/>
      <c r="AG144" s="69" t="str">
        <f t="shared" si="38"/>
        <v/>
      </c>
    </row>
    <row r="145" spans="1:33" x14ac:dyDescent="0.25">
      <c r="A145" s="12" t="str">
        <f t="shared" si="32"/>
        <v/>
      </c>
      <c r="B145" s="16"/>
      <c r="C145" s="17"/>
      <c r="D145" s="18"/>
      <c r="E145" s="29"/>
      <c r="F145" s="39"/>
      <c r="G145" s="40"/>
      <c r="H145" s="41"/>
      <c r="I145" s="42"/>
      <c r="J145" s="82">
        <f t="shared" si="33"/>
        <v>0</v>
      </c>
      <c r="K145" s="43"/>
      <c r="L145" s="83" t="str">
        <f t="shared" si="34"/>
        <v/>
      </c>
      <c r="M145" s="53"/>
      <c r="Q145" s="12"/>
      <c r="R145" s="36"/>
      <c r="S145" s="65"/>
      <c r="T145" s="37"/>
      <c r="U145" s="38"/>
      <c r="V145" s="31"/>
      <c r="W145" s="31"/>
      <c r="X145" s="46">
        <f t="shared" si="35"/>
        <v>0</v>
      </c>
      <c r="Y145" s="46">
        <f t="shared" si="36"/>
        <v>0</v>
      </c>
      <c r="AA145" s="29"/>
      <c r="AB145" s="39"/>
      <c r="AC145" s="40"/>
      <c r="AD145" s="53"/>
      <c r="AE145" s="59">
        <f t="shared" si="37"/>
        <v>0</v>
      </c>
      <c r="AF145" s="91"/>
      <c r="AG145" s="53" t="str">
        <f t="shared" si="38"/>
        <v/>
      </c>
    </row>
    <row r="146" spans="1:33" x14ac:dyDescent="0.25">
      <c r="A146" s="12" t="str">
        <f t="shared" si="32"/>
        <v/>
      </c>
      <c r="B146" s="16"/>
      <c r="C146" s="17"/>
      <c r="D146" s="18"/>
      <c r="E146" s="29"/>
      <c r="F146" s="27"/>
      <c r="G146" s="28"/>
      <c r="H146" s="19"/>
      <c r="I146" s="23"/>
      <c r="J146" s="82">
        <f t="shared" si="33"/>
        <v>0</v>
      </c>
      <c r="K146" s="30"/>
      <c r="L146" s="83" t="str">
        <f t="shared" si="34"/>
        <v/>
      </c>
      <c r="M146" s="23"/>
      <c r="Q146" s="12"/>
      <c r="R146" s="36"/>
      <c r="S146" s="65"/>
      <c r="T146" s="44"/>
      <c r="U146" s="45"/>
      <c r="V146" s="46"/>
      <c r="W146" s="46"/>
      <c r="X146" s="46">
        <f t="shared" si="35"/>
        <v>0</v>
      </c>
      <c r="Y146" s="46">
        <f t="shared" si="36"/>
        <v>0</v>
      </c>
      <c r="AA146" s="29"/>
      <c r="AB146" s="94"/>
      <c r="AC146" s="95"/>
      <c r="AD146" s="69"/>
      <c r="AE146" s="60">
        <f t="shared" si="37"/>
        <v>0</v>
      </c>
      <c r="AF146" s="96"/>
      <c r="AG146" s="69" t="str">
        <f t="shared" si="38"/>
        <v/>
      </c>
    </row>
    <row r="147" spans="1:33" x14ac:dyDescent="0.25">
      <c r="A147" s="12" t="str">
        <f t="shared" si="32"/>
        <v/>
      </c>
      <c r="B147" s="16"/>
      <c r="C147" s="17"/>
      <c r="D147" s="18"/>
      <c r="E147" s="29"/>
      <c r="F147" s="39"/>
      <c r="G147" s="40"/>
      <c r="H147" s="41"/>
      <c r="I147" s="42"/>
      <c r="J147" s="82">
        <f t="shared" si="33"/>
        <v>0</v>
      </c>
      <c r="K147" s="43"/>
      <c r="L147" s="83" t="str">
        <f t="shared" si="34"/>
        <v/>
      </c>
      <c r="M147" s="53"/>
      <c r="Q147" s="12"/>
      <c r="R147" s="36"/>
      <c r="S147" s="65"/>
      <c r="T147" s="37"/>
      <c r="U147" s="38"/>
      <c r="V147" s="31"/>
      <c r="W147" s="31"/>
      <c r="X147" s="46">
        <f t="shared" si="35"/>
        <v>0</v>
      </c>
      <c r="Y147" s="46">
        <f t="shared" si="36"/>
        <v>0</v>
      </c>
      <c r="AA147" s="29"/>
      <c r="AB147" s="39"/>
      <c r="AC147" s="40"/>
      <c r="AD147" s="53"/>
      <c r="AE147" s="59">
        <f t="shared" si="37"/>
        <v>0</v>
      </c>
      <c r="AF147" s="91"/>
      <c r="AG147" s="53" t="str">
        <f t="shared" si="38"/>
        <v/>
      </c>
    </row>
    <row r="148" spans="1:33" x14ac:dyDescent="0.25">
      <c r="A148" s="12" t="str">
        <f t="shared" si="32"/>
        <v/>
      </c>
      <c r="B148" s="16"/>
      <c r="C148" s="17"/>
      <c r="D148" s="18"/>
      <c r="E148" s="29"/>
      <c r="F148" s="27"/>
      <c r="G148" s="28"/>
      <c r="H148" s="19"/>
      <c r="I148" s="23"/>
      <c r="J148" s="82">
        <f t="shared" si="33"/>
        <v>0</v>
      </c>
      <c r="K148" s="30"/>
      <c r="L148" s="83" t="str">
        <f t="shared" si="34"/>
        <v/>
      </c>
      <c r="M148" s="23"/>
      <c r="Q148" s="12"/>
      <c r="R148" s="36"/>
      <c r="S148" s="65"/>
      <c r="T148" s="44"/>
      <c r="U148" s="45"/>
      <c r="V148" s="46"/>
      <c r="W148" s="46"/>
      <c r="X148" s="46">
        <f t="shared" si="35"/>
        <v>0</v>
      </c>
      <c r="Y148" s="46">
        <f t="shared" si="36"/>
        <v>0</v>
      </c>
      <c r="AA148" s="29"/>
      <c r="AB148" s="94"/>
      <c r="AC148" s="95"/>
      <c r="AD148" s="69"/>
      <c r="AE148" s="60">
        <f t="shared" si="37"/>
        <v>0</v>
      </c>
      <c r="AF148" s="96"/>
      <c r="AG148" s="69" t="str">
        <f t="shared" si="38"/>
        <v/>
      </c>
    </row>
    <row r="149" spans="1:33" x14ac:dyDescent="0.25">
      <c r="A149" s="12" t="str">
        <f t="shared" si="32"/>
        <v/>
      </c>
      <c r="B149" s="16"/>
      <c r="C149" s="17"/>
      <c r="D149" s="18"/>
      <c r="E149" s="29"/>
      <c r="F149" s="39"/>
      <c r="G149" s="40"/>
      <c r="H149" s="41"/>
      <c r="I149" s="42"/>
      <c r="J149" s="82">
        <f t="shared" si="33"/>
        <v>0</v>
      </c>
      <c r="K149" s="43"/>
      <c r="L149" s="83" t="str">
        <f t="shared" si="34"/>
        <v/>
      </c>
      <c r="M149" s="53"/>
      <c r="Q149" s="12"/>
      <c r="R149" s="36"/>
      <c r="S149" s="65"/>
      <c r="T149" s="37"/>
      <c r="U149" s="38"/>
      <c r="V149" s="31"/>
      <c r="W149" s="31"/>
      <c r="X149" s="46">
        <f t="shared" si="35"/>
        <v>0</v>
      </c>
      <c r="Y149" s="46">
        <f t="shared" si="36"/>
        <v>0</v>
      </c>
      <c r="AA149" s="29"/>
      <c r="AB149" s="39"/>
      <c r="AC149" s="40"/>
      <c r="AD149" s="53"/>
      <c r="AE149" s="59">
        <f t="shared" si="37"/>
        <v>0</v>
      </c>
      <c r="AF149" s="91"/>
      <c r="AG149" s="53" t="str">
        <f t="shared" si="38"/>
        <v/>
      </c>
    </row>
    <row r="150" spans="1:33" x14ac:dyDescent="0.25">
      <c r="A150" s="12" t="str">
        <f t="shared" si="32"/>
        <v/>
      </c>
      <c r="B150" s="16"/>
      <c r="C150" s="17"/>
      <c r="D150" s="18"/>
      <c r="E150" s="29"/>
      <c r="F150" s="27"/>
      <c r="G150" s="28"/>
      <c r="H150" s="19"/>
      <c r="I150" s="23"/>
      <c r="J150" s="82">
        <f t="shared" si="33"/>
        <v>0</v>
      </c>
      <c r="K150" s="30"/>
      <c r="L150" s="83" t="str">
        <f t="shared" si="34"/>
        <v/>
      </c>
      <c r="M150" s="23"/>
      <c r="Q150" s="12"/>
      <c r="R150" s="36"/>
      <c r="S150" s="65"/>
      <c r="T150" s="44"/>
      <c r="U150" s="45"/>
      <c r="V150" s="46"/>
      <c r="W150" s="46"/>
      <c r="X150" s="46">
        <f t="shared" si="35"/>
        <v>0</v>
      </c>
      <c r="Y150" s="46">
        <f t="shared" si="36"/>
        <v>0</v>
      </c>
      <c r="AA150" s="29"/>
      <c r="AB150" s="94"/>
      <c r="AC150" s="95"/>
      <c r="AD150" s="69"/>
      <c r="AE150" s="60">
        <f t="shared" si="37"/>
        <v>0</v>
      </c>
      <c r="AF150" s="96"/>
      <c r="AG150" s="69" t="str">
        <f t="shared" si="38"/>
        <v/>
      </c>
    </row>
    <row r="151" spans="1:33" x14ac:dyDescent="0.25">
      <c r="A151" s="12" t="str">
        <f t="shared" si="32"/>
        <v/>
      </c>
      <c r="B151" s="16"/>
      <c r="C151" s="17"/>
      <c r="D151" s="18"/>
      <c r="E151" s="29"/>
      <c r="F151" s="39"/>
      <c r="G151" s="40"/>
      <c r="H151" s="41"/>
      <c r="I151" s="42"/>
      <c r="J151" s="82">
        <f t="shared" si="33"/>
        <v>0</v>
      </c>
      <c r="K151" s="43"/>
      <c r="L151" s="83" t="str">
        <f t="shared" si="34"/>
        <v/>
      </c>
      <c r="M151" s="53"/>
      <c r="Q151" s="12"/>
      <c r="S151"/>
      <c r="AA151" s="29"/>
      <c r="AB151" s="39"/>
      <c r="AC151" s="40"/>
      <c r="AD151" s="53"/>
      <c r="AE151" s="59">
        <f t="shared" si="37"/>
        <v>0</v>
      </c>
      <c r="AF151" s="91"/>
      <c r="AG151" s="53" t="str">
        <f t="shared" si="38"/>
        <v/>
      </c>
    </row>
    <row r="152" spans="1:33" x14ac:dyDescent="0.25">
      <c r="A152" s="12" t="str">
        <f t="shared" si="32"/>
        <v/>
      </c>
      <c r="B152" s="16"/>
      <c r="C152" s="17"/>
      <c r="D152" s="18"/>
      <c r="E152" s="29"/>
      <c r="F152" s="27"/>
      <c r="G152" s="28"/>
      <c r="H152" s="19"/>
      <c r="I152" s="23"/>
      <c r="J152" s="82">
        <f t="shared" si="33"/>
        <v>0</v>
      </c>
      <c r="K152" s="30"/>
      <c r="L152" s="83" t="str">
        <f t="shared" si="34"/>
        <v/>
      </c>
      <c r="M152" s="23"/>
      <c r="Q152" s="12"/>
      <c r="S152"/>
      <c r="AA152" s="29"/>
      <c r="AB152" s="94"/>
      <c r="AC152" s="95"/>
      <c r="AD152" s="69"/>
      <c r="AE152" s="60">
        <f t="shared" si="37"/>
        <v>0</v>
      </c>
      <c r="AF152" s="96"/>
      <c r="AG152" s="69" t="str">
        <f t="shared" si="38"/>
        <v/>
      </c>
    </row>
    <row r="153" spans="1:33" x14ac:dyDescent="0.25">
      <c r="A153" s="12" t="str">
        <f t="shared" si="32"/>
        <v/>
      </c>
      <c r="B153" s="16"/>
      <c r="C153" s="17"/>
      <c r="D153" s="18"/>
      <c r="E153" s="29"/>
      <c r="F153" s="39"/>
      <c r="G153" s="40"/>
      <c r="H153" s="41"/>
      <c r="I153" s="42"/>
      <c r="J153" s="82">
        <f t="shared" si="33"/>
        <v>0</v>
      </c>
      <c r="K153" s="43"/>
      <c r="L153" s="83" t="str">
        <f t="shared" si="34"/>
        <v/>
      </c>
      <c r="M153" s="53"/>
      <c r="Q153" s="12"/>
      <c r="S153"/>
      <c r="AA153" s="29"/>
      <c r="AB153" s="39"/>
      <c r="AC153" s="40"/>
      <c r="AD153" s="53"/>
      <c r="AE153" s="59">
        <f t="shared" si="37"/>
        <v>0</v>
      </c>
      <c r="AF153" s="91"/>
      <c r="AG153" s="53" t="str">
        <f t="shared" si="38"/>
        <v/>
      </c>
    </row>
    <row r="154" spans="1:33" x14ac:dyDescent="0.25">
      <c r="A154" s="12" t="str">
        <f t="shared" si="32"/>
        <v/>
      </c>
      <c r="B154" s="16"/>
      <c r="C154" s="17"/>
      <c r="D154" s="18"/>
      <c r="E154" s="29"/>
      <c r="F154" s="27"/>
      <c r="G154" s="28"/>
      <c r="H154" s="19"/>
      <c r="I154" s="23"/>
      <c r="J154" s="82">
        <f t="shared" si="33"/>
        <v>0</v>
      </c>
      <c r="K154" s="30"/>
      <c r="L154" s="83" t="str">
        <f t="shared" si="34"/>
        <v/>
      </c>
      <c r="M154" s="23"/>
      <c r="Q154" s="12"/>
      <c r="S154"/>
      <c r="AA154" s="29"/>
      <c r="AB154" s="94"/>
      <c r="AC154" s="95"/>
      <c r="AD154" s="69"/>
      <c r="AE154" s="60">
        <f t="shared" si="37"/>
        <v>0</v>
      </c>
      <c r="AF154" s="96"/>
      <c r="AG154" s="69" t="str">
        <f t="shared" si="38"/>
        <v/>
      </c>
    </row>
    <row r="155" spans="1:33" x14ac:dyDescent="0.25">
      <c r="A155" s="12" t="str">
        <f t="shared" si="32"/>
        <v/>
      </c>
      <c r="B155" s="16"/>
      <c r="C155" s="17"/>
      <c r="D155" s="18"/>
      <c r="E155" s="29"/>
      <c r="F155" s="39"/>
      <c r="G155" s="40"/>
      <c r="H155" s="41"/>
      <c r="I155" s="42"/>
      <c r="J155" s="82">
        <f t="shared" si="33"/>
        <v>0</v>
      </c>
      <c r="K155" s="43"/>
      <c r="L155" s="83" t="str">
        <f t="shared" si="34"/>
        <v/>
      </c>
      <c r="M155" s="53"/>
      <c r="Q155" s="12"/>
      <c r="S155"/>
      <c r="AA155" s="29"/>
      <c r="AB155" s="39"/>
      <c r="AC155" s="40"/>
      <c r="AD155" s="53"/>
      <c r="AE155" s="59">
        <f t="shared" si="37"/>
        <v>0</v>
      </c>
      <c r="AF155" s="91"/>
      <c r="AG155" s="53" t="str">
        <f t="shared" si="38"/>
        <v/>
      </c>
    </row>
    <row r="156" spans="1:33" x14ac:dyDescent="0.25">
      <c r="A156" s="12" t="str">
        <f t="shared" si="32"/>
        <v/>
      </c>
      <c r="B156" s="16"/>
      <c r="C156" s="17"/>
      <c r="D156" s="18"/>
      <c r="E156" s="29"/>
      <c r="F156" s="27"/>
      <c r="G156" s="28"/>
      <c r="H156" s="19"/>
      <c r="I156" s="23"/>
      <c r="J156" s="82">
        <f t="shared" si="33"/>
        <v>0</v>
      </c>
      <c r="K156" s="30"/>
      <c r="L156" s="83" t="str">
        <f t="shared" si="34"/>
        <v/>
      </c>
      <c r="M156" s="23"/>
      <c r="Q156" s="12"/>
      <c r="S156"/>
      <c r="AA156" s="29"/>
      <c r="AB156" s="94"/>
      <c r="AC156" s="95"/>
      <c r="AD156" s="69"/>
      <c r="AE156" s="60">
        <f t="shared" si="37"/>
        <v>0</v>
      </c>
      <c r="AF156" s="96"/>
      <c r="AG156" s="69" t="str">
        <f t="shared" si="38"/>
        <v/>
      </c>
    </row>
    <row r="157" spans="1:33" x14ac:dyDescent="0.25">
      <c r="A157" s="12" t="str">
        <f t="shared" si="32"/>
        <v/>
      </c>
      <c r="B157" s="16"/>
      <c r="C157" s="17"/>
      <c r="D157" s="18"/>
      <c r="E157" s="29"/>
      <c r="F157" s="39"/>
      <c r="G157" s="40"/>
      <c r="H157" s="41"/>
      <c r="I157" s="42"/>
      <c r="J157" s="82">
        <f t="shared" si="33"/>
        <v>0</v>
      </c>
      <c r="K157" s="43"/>
      <c r="L157" s="83" t="str">
        <f t="shared" si="34"/>
        <v/>
      </c>
      <c r="M157" s="53"/>
      <c r="Q157" s="12"/>
      <c r="S157"/>
      <c r="AA157" s="29"/>
      <c r="AB157" s="39"/>
      <c r="AC157" s="40"/>
      <c r="AD157" s="53"/>
      <c r="AE157" s="59">
        <f t="shared" si="37"/>
        <v>0</v>
      </c>
      <c r="AF157" s="91"/>
      <c r="AG157" s="53" t="str">
        <f t="shared" si="38"/>
        <v/>
      </c>
    </row>
    <row r="158" spans="1:33" x14ac:dyDescent="0.25">
      <c r="A158" s="12" t="str">
        <f t="shared" si="32"/>
        <v/>
      </c>
      <c r="B158" s="16"/>
      <c r="C158" s="17"/>
      <c r="D158" s="18"/>
      <c r="E158" s="29"/>
      <c r="F158" s="27"/>
      <c r="G158" s="28"/>
      <c r="H158" s="19"/>
      <c r="I158" s="23"/>
      <c r="J158" s="82">
        <f t="shared" si="33"/>
        <v>0</v>
      </c>
      <c r="K158" s="30"/>
      <c r="L158" s="83" t="str">
        <f t="shared" si="34"/>
        <v/>
      </c>
      <c r="M158" s="23"/>
      <c r="Q158" s="12"/>
      <c r="S158"/>
      <c r="AA158" s="29"/>
      <c r="AB158" s="94"/>
      <c r="AC158" s="95"/>
      <c r="AD158" s="69"/>
      <c r="AE158" s="60">
        <f t="shared" si="37"/>
        <v>0</v>
      </c>
      <c r="AF158" s="96"/>
      <c r="AG158" s="69" t="str">
        <f t="shared" si="38"/>
        <v/>
      </c>
    </row>
    <row r="159" spans="1:33" x14ac:dyDescent="0.25">
      <c r="A159" s="12" t="str">
        <f t="shared" si="32"/>
        <v/>
      </c>
      <c r="B159" s="16"/>
      <c r="C159" s="17"/>
      <c r="D159" s="18"/>
      <c r="E159" s="29"/>
      <c r="F159" s="39"/>
      <c r="G159" s="40"/>
      <c r="H159" s="41"/>
      <c r="I159" s="42"/>
      <c r="J159" s="82">
        <f t="shared" si="33"/>
        <v>0</v>
      </c>
      <c r="K159" s="43"/>
      <c r="L159" s="83" t="str">
        <f t="shared" si="34"/>
        <v/>
      </c>
      <c r="M159" s="53"/>
      <c r="Q159" s="12"/>
      <c r="S159"/>
      <c r="AA159" s="29"/>
      <c r="AB159" s="39"/>
      <c r="AC159" s="40"/>
      <c r="AD159" s="53"/>
      <c r="AE159" s="59">
        <f t="shared" si="37"/>
        <v>0</v>
      </c>
      <c r="AF159" s="91"/>
      <c r="AG159" s="53" t="str">
        <f t="shared" si="38"/>
        <v/>
      </c>
    </row>
    <row r="160" spans="1:33" x14ac:dyDescent="0.25">
      <c r="A160" s="12" t="str">
        <f t="shared" si="32"/>
        <v/>
      </c>
      <c r="B160" s="16"/>
      <c r="C160" s="17"/>
      <c r="D160" s="18"/>
      <c r="E160" s="29"/>
      <c r="F160" s="27"/>
      <c r="G160" s="28"/>
      <c r="H160" s="19"/>
      <c r="I160" s="23"/>
      <c r="J160" s="82">
        <f t="shared" si="33"/>
        <v>0</v>
      </c>
      <c r="K160" s="30"/>
      <c r="L160" s="83" t="str">
        <f t="shared" si="34"/>
        <v/>
      </c>
      <c r="M160" s="23"/>
      <c r="Q160" s="12"/>
      <c r="S160"/>
      <c r="AA160" s="29"/>
      <c r="AB160" s="94"/>
      <c r="AC160" s="95"/>
      <c r="AD160" s="69"/>
      <c r="AE160" s="60">
        <f t="shared" si="37"/>
        <v>0</v>
      </c>
      <c r="AF160" s="96"/>
      <c r="AG160" s="69" t="str">
        <f t="shared" si="38"/>
        <v/>
      </c>
    </row>
    <row r="161" spans="1:33" x14ac:dyDescent="0.25">
      <c r="A161" s="12" t="str">
        <f t="shared" si="32"/>
        <v/>
      </c>
      <c r="B161" s="16"/>
      <c r="C161" s="17"/>
      <c r="D161" s="18"/>
      <c r="E161" s="29"/>
      <c r="F161" s="39"/>
      <c r="G161" s="40"/>
      <c r="H161" s="41"/>
      <c r="I161" s="42"/>
      <c r="J161" s="82">
        <f t="shared" si="33"/>
        <v>0</v>
      </c>
      <c r="K161" s="43"/>
      <c r="L161" s="83" t="str">
        <f t="shared" si="34"/>
        <v/>
      </c>
      <c r="M161" s="53"/>
      <c r="Q161" s="12"/>
      <c r="S161"/>
      <c r="AA161" s="29"/>
      <c r="AB161" s="39"/>
      <c r="AC161" s="40"/>
      <c r="AD161" s="53"/>
      <c r="AE161" s="59">
        <f t="shared" si="37"/>
        <v>0</v>
      </c>
      <c r="AF161" s="91"/>
      <c r="AG161" s="53" t="str">
        <f t="shared" si="38"/>
        <v/>
      </c>
    </row>
    <row r="162" spans="1:33" x14ac:dyDescent="0.25">
      <c r="A162" s="12" t="str">
        <f t="shared" si="32"/>
        <v/>
      </c>
      <c r="B162" s="16"/>
      <c r="C162" s="17"/>
      <c r="D162" s="18"/>
      <c r="E162" s="29"/>
      <c r="F162" s="27"/>
      <c r="G162" s="28"/>
      <c r="H162" s="19"/>
      <c r="I162" s="23"/>
      <c r="J162" s="82">
        <f t="shared" si="33"/>
        <v>0</v>
      </c>
      <c r="K162" s="30"/>
      <c r="L162" s="83" t="str">
        <f t="shared" si="34"/>
        <v/>
      </c>
      <c r="M162" s="23"/>
      <c r="Q162" s="12"/>
      <c r="S162"/>
      <c r="AA162" s="29"/>
      <c r="AB162" s="94"/>
      <c r="AC162" s="95"/>
      <c r="AD162" s="69"/>
      <c r="AE162" s="60">
        <f t="shared" si="37"/>
        <v>0</v>
      </c>
      <c r="AF162" s="96"/>
      <c r="AG162" s="69" t="str">
        <f t="shared" si="38"/>
        <v/>
      </c>
    </row>
    <row r="163" spans="1:33" x14ac:dyDescent="0.25">
      <c r="A163" s="12" t="str">
        <f t="shared" si="32"/>
        <v/>
      </c>
      <c r="B163" s="16"/>
      <c r="C163" s="17"/>
      <c r="D163" s="18"/>
      <c r="E163" s="29"/>
      <c r="F163" s="39"/>
      <c r="G163" s="40"/>
      <c r="H163" s="41"/>
      <c r="I163" s="42"/>
      <c r="J163" s="82">
        <f t="shared" si="33"/>
        <v>0</v>
      </c>
      <c r="K163" s="43"/>
      <c r="L163" s="83" t="str">
        <f t="shared" si="34"/>
        <v/>
      </c>
      <c r="M163" s="53"/>
      <c r="Q163" s="12"/>
      <c r="S163"/>
      <c r="AA163" s="29"/>
      <c r="AB163" s="39"/>
      <c r="AC163" s="40"/>
      <c r="AD163" s="53"/>
      <c r="AE163" s="59">
        <f t="shared" si="37"/>
        <v>0</v>
      </c>
      <c r="AF163" s="91"/>
      <c r="AG163" s="53" t="str">
        <f t="shared" si="38"/>
        <v/>
      </c>
    </row>
    <row r="164" spans="1:33" x14ac:dyDescent="0.25">
      <c r="A164" s="12" t="str">
        <f t="shared" si="32"/>
        <v/>
      </c>
      <c r="B164" s="16"/>
      <c r="C164" s="17"/>
      <c r="D164" s="18"/>
      <c r="E164" s="29"/>
      <c r="F164" s="27"/>
      <c r="G164" s="28"/>
      <c r="H164" s="19"/>
      <c r="I164" s="23"/>
      <c r="J164" s="82">
        <f t="shared" si="33"/>
        <v>0</v>
      </c>
      <c r="K164" s="30"/>
      <c r="L164" s="83" t="str">
        <f t="shared" si="34"/>
        <v/>
      </c>
      <c r="M164" s="23"/>
      <c r="Q164" s="12"/>
      <c r="S164"/>
      <c r="AA164" s="29"/>
      <c r="AB164" s="94"/>
      <c r="AC164" s="95"/>
      <c r="AD164" s="69"/>
      <c r="AE164" s="60">
        <f t="shared" si="37"/>
        <v>0</v>
      </c>
      <c r="AF164" s="96"/>
      <c r="AG164" s="69" t="str">
        <f t="shared" si="38"/>
        <v/>
      </c>
    </row>
    <row r="165" spans="1:33" x14ac:dyDescent="0.25">
      <c r="A165" s="12" t="str">
        <f t="shared" si="32"/>
        <v/>
      </c>
      <c r="B165" s="16"/>
      <c r="C165" s="17"/>
      <c r="D165" s="18"/>
      <c r="E165" s="29"/>
      <c r="F165" s="39"/>
      <c r="G165" s="40"/>
      <c r="H165" s="41"/>
      <c r="I165" s="42"/>
      <c r="J165" s="82">
        <f t="shared" si="33"/>
        <v>0</v>
      </c>
      <c r="K165" s="43"/>
      <c r="L165" s="83" t="str">
        <f t="shared" si="34"/>
        <v/>
      </c>
      <c r="M165" s="53"/>
      <c r="Q165" s="12"/>
      <c r="S165"/>
      <c r="AA165" s="29"/>
      <c r="AB165" s="39"/>
      <c r="AC165" s="40"/>
      <c r="AD165" s="53"/>
      <c r="AE165" s="59">
        <f t="shared" si="37"/>
        <v>0</v>
      </c>
      <c r="AF165" s="91"/>
      <c r="AG165" s="53" t="str">
        <f t="shared" si="38"/>
        <v/>
      </c>
    </row>
    <row r="166" spans="1:33" x14ac:dyDescent="0.25">
      <c r="A166" s="12" t="str">
        <f t="shared" si="32"/>
        <v/>
      </c>
      <c r="B166" s="16"/>
      <c r="C166" s="17"/>
      <c r="D166" s="18"/>
      <c r="E166" s="29"/>
      <c r="F166" s="27"/>
      <c r="G166" s="28"/>
      <c r="H166" s="19"/>
      <c r="I166" s="23"/>
      <c r="J166" s="82">
        <f t="shared" si="33"/>
        <v>0</v>
      </c>
      <c r="K166" s="30"/>
      <c r="L166" s="83" t="str">
        <f t="shared" si="34"/>
        <v/>
      </c>
      <c r="M166" s="23"/>
      <c r="Q166" s="12"/>
      <c r="S166"/>
      <c r="AA166" s="29"/>
      <c r="AB166" s="94"/>
      <c r="AC166" s="95"/>
      <c r="AD166" s="69"/>
      <c r="AE166" s="60">
        <f t="shared" si="37"/>
        <v>0</v>
      </c>
      <c r="AF166" s="96"/>
      <c r="AG166" s="69" t="str">
        <f t="shared" si="38"/>
        <v/>
      </c>
    </row>
    <row r="167" spans="1:33" x14ac:dyDescent="0.25">
      <c r="A167" s="12" t="str">
        <f t="shared" si="32"/>
        <v/>
      </c>
      <c r="B167" s="16"/>
      <c r="C167" s="17"/>
      <c r="D167" s="18"/>
      <c r="E167" s="29"/>
      <c r="F167" s="39"/>
      <c r="G167" s="40"/>
      <c r="H167" s="41"/>
      <c r="I167" s="42"/>
      <c r="J167" s="82">
        <f t="shared" si="33"/>
        <v>0</v>
      </c>
      <c r="K167" s="43"/>
      <c r="L167" s="83" t="str">
        <f t="shared" si="34"/>
        <v/>
      </c>
      <c r="M167" s="53"/>
      <c r="Q167" s="12"/>
      <c r="S167"/>
      <c r="AA167" s="29"/>
      <c r="AB167" s="39"/>
      <c r="AC167" s="40"/>
      <c r="AD167" s="53"/>
      <c r="AE167" s="59">
        <f t="shared" si="37"/>
        <v>0</v>
      </c>
      <c r="AF167" s="91"/>
      <c r="AG167" s="53" t="str">
        <f t="shared" si="38"/>
        <v/>
      </c>
    </row>
    <row r="168" spans="1:33" x14ac:dyDescent="0.25">
      <c r="A168" s="12" t="str">
        <f t="shared" si="32"/>
        <v/>
      </c>
      <c r="B168" s="16"/>
      <c r="C168" s="17"/>
      <c r="D168" s="18"/>
      <c r="E168" s="29"/>
      <c r="F168" s="27"/>
      <c r="G168" s="28"/>
      <c r="H168" s="19"/>
      <c r="I168" s="23"/>
      <c r="J168" s="82">
        <f t="shared" si="33"/>
        <v>0</v>
      </c>
      <c r="K168" s="30"/>
      <c r="L168" s="83" t="str">
        <f t="shared" si="34"/>
        <v/>
      </c>
      <c r="M168" s="23"/>
      <c r="Q168" s="12"/>
      <c r="S168"/>
      <c r="AA168" s="29"/>
      <c r="AB168" s="94"/>
      <c r="AC168" s="95"/>
      <c r="AD168" s="69"/>
      <c r="AE168" s="60">
        <f t="shared" si="37"/>
        <v>0</v>
      </c>
      <c r="AF168" s="96"/>
      <c r="AG168" s="69" t="str">
        <f t="shared" si="38"/>
        <v/>
      </c>
    </row>
    <row r="169" spans="1:33" x14ac:dyDescent="0.25">
      <c r="A169" s="12" t="str">
        <f t="shared" si="32"/>
        <v/>
      </c>
      <c r="B169" s="16"/>
      <c r="C169" s="17"/>
      <c r="D169" s="18"/>
      <c r="E169" s="29"/>
      <c r="F169" s="39"/>
      <c r="G169" s="40"/>
      <c r="H169" s="41"/>
      <c r="I169" s="42"/>
      <c r="J169" s="82">
        <f t="shared" si="33"/>
        <v>0</v>
      </c>
      <c r="K169" s="43"/>
      <c r="L169" s="83" t="str">
        <f t="shared" si="34"/>
        <v/>
      </c>
      <c r="M169" s="53"/>
      <c r="Q169" s="12"/>
      <c r="S169"/>
      <c r="AA169" s="29"/>
      <c r="AB169" s="39"/>
      <c r="AC169" s="40"/>
      <c r="AD169" s="53"/>
      <c r="AE169" s="59">
        <f t="shared" si="37"/>
        <v>0</v>
      </c>
      <c r="AF169" s="91"/>
      <c r="AG169" s="53" t="str">
        <f t="shared" si="38"/>
        <v/>
      </c>
    </row>
    <row r="170" spans="1:33" x14ac:dyDescent="0.25">
      <c r="A170" s="12" t="str">
        <f t="shared" si="32"/>
        <v/>
      </c>
      <c r="B170" s="16"/>
      <c r="C170" s="17"/>
      <c r="D170" s="18"/>
      <c r="E170" s="29"/>
      <c r="F170" s="27"/>
      <c r="G170" s="28"/>
      <c r="H170" s="19"/>
      <c r="I170" s="23"/>
      <c r="J170" s="82">
        <f t="shared" si="33"/>
        <v>0</v>
      </c>
      <c r="K170" s="30"/>
      <c r="L170" s="83" t="str">
        <f t="shared" si="34"/>
        <v/>
      </c>
      <c r="M170" s="23"/>
      <c r="Q170" s="12"/>
      <c r="S170"/>
      <c r="AA170" s="29"/>
      <c r="AB170" s="94"/>
      <c r="AC170" s="95"/>
      <c r="AD170" s="69"/>
      <c r="AE170" s="60">
        <f t="shared" si="37"/>
        <v>0</v>
      </c>
      <c r="AF170" s="96"/>
      <c r="AG170" s="69" t="str">
        <f t="shared" si="38"/>
        <v/>
      </c>
    </row>
    <row r="171" spans="1:33" x14ac:dyDescent="0.25">
      <c r="A171" s="12" t="str">
        <f t="shared" si="32"/>
        <v/>
      </c>
      <c r="B171" s="16"/>
      <c r="C171" s="17"/>
      <c r="D171" s="18"/>
      <c r="E171" s="29"/>
      <c r="F171" s="39"/>
      <c r="G171" s="40"/>
      <c r="H171" s="41"/>
      <c r="I171" s="42"/>
      <c r="J171" s="82">
        <f t="shared" si="33"/>
        <v>0</v>
      </c>
      <c r="K171" s="43"/>
      <c r="L171" s="83" t="str">
        <f t="shared" si="34"/>
        <v/>
      </c>
      <c r="M171" s="53"/>
      <c r="Q171" s="12"/>
      <c r="S171"/>
      <c r="AA171" s="29"/>
      <c r="AB171" s="39"/>
      <c r="AC171" s="40"/>
      <c r="AD171" s="53"/>
      <c r="AE171" s="59">
        <f t="shared" si="37"/>
        <v>0</v>
      </c>
      <c r="AF171" s="91"/>
      <c r="AG171" s="53" t="str">
        <f t="shared" si="38"/>
        <v/>
      </c>
    </row>
    <row r="172" spans="1:33" x14ac:dyDescent="0.25">
      <c r="A172" s="12" t="str">
        <f t="shared" si="32"/>
        <v/>
      </c>
      <c r="B172" s="16"/>
      <c r="C172" s="17"/>
      <c r="D172" s="18"/>
      <c r="E172" s="29"/>
      <c r="F172" s="27"/>
      <c r="G172" s="28"/>
      <c r="H172" s="19"/>
      <c r="I172" s="23"/>
      <c r="J172" s="82">
        <f t="shared" si="33"/>
        <v>0</v>
      </c>
      <c r="K172" s="30"/>
      <c r="L172" s="83" t="str">
        <f t="shared" si="34"/>
        <v/>
      </c>
      <c r="M172" s="23"/>
      <c r="Q172" s="12"/>
      <c r="S172"/>
      <c r="AA172" s="29"/>
      <c r="AB172" s="94"/>
      <c r="AC172" s="95"/>
      <c r="AD172" s="69"/>
      <c r="AE172" s="60">
        <f t="shared" si="37"/>
        <v>0</v>
      </c>
      <c r="AF172" s="96"/>
      <c r="AG172" s="69" t="str">
        <f t="shared" si="38"/>
        <v/>
      </c>
    </row>
    <row r="173" spans="1:33" x14ac:dyDescent="0.25">
      <c r="A173" s="12" t="str">
        <f t="shared" si="32"/>
        <v/>
      </c>
      <c r="B173" s="16"/>
      <c r="C173" s="17"/>
      <c r="D173" s="18"/>
      <c r="E173" s="29"/>
      <c r="F173" s="39"/>
      <c r="G173" s="40"/>
      <c r="H173" s="41"/>
      <c r="I173" s="42"/>
      <c r="J173" s="82">
        <f t="shared" si="33"/>
        <v>0</v>
      </c>
      <c r="K173" s="43"/>
      <c r="L173" s="83" t="str">
        <f t="shared" si="34"/>
        <v/>
      </c>
      <c r="M173" s="53"/>
      <c r="Q173" s="12"/>
      <c r="S173"/>
      <c r="AA173" s="29"/>
      <c r="AB173" s="39"/>
      <c r="AC173" s="40"/>
      <c r="AD173" s="53"/>
      <c r="AE173" s="59">
        <f t="shared" si="37"/>
        <v>0</v>
      </c>
      <c r="AF173" s="91"/>
      <c r="AG173" s="53" t="str">
        <f t="shared" si="38"/>
        <v/>
      </c>
    </row>
    <row r="174" spans="1:33" x14ac:dyDescent="0.25">
      <c r="A174" s="12" t="str">
        <f t="shared" si="32"/>
        <v/>
      </c>
      <c r="B174" s="16"/>
      <c r="C174" s="17"/>
      <c r="D174" s="18"/>
      <c r="E174" s="29"/>
      <c r="F174" s="27"/>
      <c r="G174" s="28"/>
      <c r="H174" s="19"/>
      <c r="I174" s="23"/>
      <c r="J174" s="82">
        <f t="shared" si="33"/>
        <v>0</v>
      </c>
      <c r="K174" s="30"/>
      <c r="L174" s="83" t="str">
        <f t="shared" si="34"/>
        <v/>
      </c>
      <c r="M174" s="23"/>
      <c r="Q174" s="12"/>
      <c r="S174"/>
      <c r="AA174" s="29"/>
      <c r="AB174" s="94"/>
      <c r="AC174" s="95"/>
      <c r="AD174" s="69"/>
      <c r="AE174" s="60">
        <f t="shared" si="37"/>
        <v>0</v>
      </c>
      <c r="AF174" s="96"/>
      <c r="AG174" s="69" t="str">
        <f t="shared" si="38"/>
        <v/>
      </c>
    </row>
    <row r="175" spans="1:33" x14ac:dyDescent="0.25">
      <c r="A175" s="12" t="str">
        <f t="shared" si="32"/>
        <v/>
      </c>
      <c r="B175" s="16"/>
      <c r="C175" s="17"/>
      <c r="D175" s="18"/>
      <c r="E175" s="29"/>
      <c r="F175" s="39"/>
      <c r="G175" s="40"/>
      <c r="H175" s="41"/>
      <c r="I175" s="42"/>
      <c r="J175" s="82">
        <f t="shared" si="33"/>
        <v>0</v>
      </c>
      <c r="K175" s="43"/>
      <c r="L175" s="83" t="str">
        <f t="shared" si="34"/>
        <v/>
      </c>
      <c r="M175" s="53"/>
      <c r="Q175" s="12"/>
      <c r="S175"/>
      <c r="AA175" s="29"/>
      <c r="AB175" s="39"/>
      <c r="AC175" s="40"/>
      <c r="AD175" s="53"/>
      <c r="AE175" s="59">
        <f t="shared" si="37"/>
        <v>0</v>
      </c>
      <c r="AF175" s="91"/>
      <c r="AG175" s="53" t="str">
        <f t="shared" si="38"/>
        <v/>
      </c>
    </row>
    <row r="176" spans="1:33" x14ac:dyDescent="0.25">
      <c r="A176" s="12" t="str">
        <f t="shared" si="32"/>
        <v/>
      </c>
      <c r="B176" s="16"/>
      <c r="C176" s="17"/>
      <c r="D176" s="18"/>
      <c r="E176" s="29"/>
      <c r="F176" s="27"/>
      <c r="G176" s="28"/>
      <c r="H176" s="19"/>
      <c r="I176" s="23"/>
      <c r="J176" s="82">
        <f t="shared" si="33"/>
        <v>0</v>
      </c>
      <c r="K176" s="30"/>
      <c r="L176" s="83" t="str">
        <f t="shared" si="34"/>
        <v/>
      </c>
      <c r="M176" s="23"/>
      <c r="Q176" s="12"/>
      <c r="S176"/>
      <c r="AA176" s="29"/>
      <c r="AB176" s="94"/>
      <c r="AC176" s="95"/>
      <c r="AD176" s="69"/>
      <c r="AE176" s="60">
        <f t="shared" si="37"/>
        <v>0</v>
      </c>
      <c r="AF176" s="96"/>
      <c r="AG176" s="69" t="str">
        <f t="shared" si="38"/>
        <v/>
      </c>
    </row>
    <row r="177" spans="1:33" x14ac:dyDescent="0.25">
      <c r="A177" s="12" t="str">
        <f t="shared" si="32"/>
        <v/>
      </c>
      <c r="B177" s="16"/>
      <c r="C177" s="17"/>
      <c r="D177" s="18"/>
      <c r="E177" s="29"/>
      <c r="F177" s="39"/>
      <c r="G177" s="40"/>
      <c r="H177" s="41"/>
      <c r="I177" s="42"/>
      <c r="J177" s="82">
        <f t="shared" si="33"/>
        <v>0</v>
      </c>
      <c r="K177" s="43"/>
      <c r="L177" s="83" t="str">
        <f t="shared" si="34"/>
        <v/>
      </c>
      <c r="M177" s="53"/>
      <c r="Q177" s="12"/>
      <c r="S177"/>
      <c r="AA177" s="29"/>
      <c r="AB177" s="39"/>
      <c r="AC177" s="40"/>
      <c r="AD177" s="53"/>
      <c r="AE177" s="59">
        <f t="shared" si="37"/>
        <v>0</v>
      </c>
      <c r="AF177" s="91"/>
      <c r="AG177" s="53" t="str">
        <f t="shared" si="38"/>
        <v/>
      </c>
    </row>
    <row r="178" spans="1:33" x14ac:dyDescent="0.25">
      <c r="A178" s="12" t="str">
        <f t="shared" si="32"/>
        <v/>
      </c>
      <c r="B178" s="16"/>
      <c r="C178" s="17"/>
      <c r="D178" s="18"/>
      <c r="E178" s="29"/>
      <c r="F178" s="27"/>
      <c r="G178" s="28"/>
      <c r="H178" s="19"/>
      <c r="I178" s="23"/>
      <c r="J178" s="82">
        <f t="shared" si="33"/>
        <v>0</v>
      </c>
      <c r="K178" s="30"/>
      <c r="L178" s="83" t="str">
        <f t="shared" si="34"/>
        <v/>
      </c>
      <c r="M178" s="23"/>
      <c r="Q178" s="12"/>
      <c r="S178"/>
      <c r="AA178" s="29"/>
      <c r="AB178" s="94"/>
      <c r="AC178" s="95"/>
      <c r="AD178" s="69"/>
      <c r="AE178" s="60">
        <f t="shared" si="37"/>
        <v>0</v>
      </c>
      <c r="AF178" s="96"/>
      <c r="AG178" s="69" t="str">
        <f t="shared" si="38"/>
        <v/>
      </c>
    </row>
    <row r="179" spans="1:33" x14ac:dyDescent="0.25">
      <c r="A179" s="12" t="str">
        <f t="shared" si="32"/>
        <v/>
      </c>
      <c r="B179" s="16"/>
      <c r="C179" s="17"/>
      <c r="D179" s="18"/>
      <c r="E179" s="29"/>
      <c r="F179" s="39"/>
      <c r="G179" s="40"/>
      <c r="H179" s="41"/>
      <c r="I179" s="42"/>
      <c r="J179" s="82">
        <f t="shared" si="33"/>
        <v>0</v>
      </c>
      <c r="K179" s="43"/>
      <c r="L179" s="83" t="str">
        <f t="shared" si="34"/>
        <v/>
      </c>
      <c r="M179" s="53"/>
      <c r="Q179" s="12"/>
      <c r="S179"/>
      <c r="AA179" s="29"/>
      <c r="AB179" s="39"/>
      <c r="AC179" s="40"/>
      <c r="AD179" s="53"/>
      <c r="AE179" s="59">
        <f t="shared" si="37"/>
        <v>0</v>
      </c>
      <c r="AF179" s="91"/>
      <c r="AG179" s="53" t="str">
        <f t="shared" si="38"/>
        <v/>
      </c>
    </row>
    <row r="180" spans="1:33" x14ac:dyDescent="0.25">
      <c r="A180" s="12" t="str">
        <f t="shared" ref="A180:A243" si="39">IFERROR(DATE(B180,C180,D180),"")</f>
        <v/>
      </c>
      <c r="B180" s="16"/>
      <c r="C180" s="17"/>
      <c r="D180" s="18"/>
      <c r="E180" s="29"/>
      <c r="F180" s="27"/>
      <c r="G180" s="28"/>
      <c r="H180" s="19"/>
      <c r="I180" s="23"/>
      <c r="J180" s="82">
        <f t="shared" ref="J180:J243" si="40">IF(E180="entrada",H180*I180,H180*I180*-1)</f>
        <v>0</v>
      </c>
      <c r="K180" s="30"/>
      <c r="L180" s="83" t="str">
        <f t="shared" ref="L180:L243" si="41">IF(J180=0,"",SUM(L179,J180))</f>
        <v/>
      </c>
      <c r="M180" s="23"/>
      <c r="Q180" s="12"/>
      <c r="S180"/>
      <c r="AA180" s="29"/>
      <c r="AB180" s="94"/>
      <c r="AC180" s="95"/>
      <c r="AD180" s="69"/>
      <c r="AE180" s="60">
        <f t="shared" si="37"/>
        <v>0</v>
      </c>
      <c r="AF180" s="96"/>
      <c r="AG180" s="69" t="str">
        <f t="shared" si="38"/>
        <v/>
      </c>
    </row>
    <row r="181" spans="1:33" x14ac:dyDescent="0.25">
      <c r="A181" s="12" t="str">
        <f t="shared" si="39"/>
        <v/>
      </c>
      <c r="B181" s="16"/>
      <c r="C181" s="17"/>
      <c r="D181" s="18"/>
      <c r="E181" s="29"/>
      <c r="F181" s="39"/>
      <c r="G181" s="40"/>
      <c r="H181" s="41"/>
      <c r="I181" s="42"/>
      <c r="J181" s="82">
        <f t="shared" si="40"/>
        <v>0</v>
      </c>
      <c r="K181" s="43"/>
      <c r="L181" s="83" t="str">
        <f t="shared" si="41"/>
        <v/>
      </c>
      <c r="M181" s="53"/>
      <c r="Q181" s="12"/>
      <c r="S181"/>
      <c r="AA181" s="29"/>
      <c r="AB181" s="39"/>
      <c r="AC181" s="40"/>
      <c r="AD181" s="53"/>
      <c r="AE181" s="59">
        <f t="shared" si="37"/>
        <v>0</v>
      </c>
      <c r="AF181" s="91"/>
      <c r="AG181" s="53" t="str">
        <f t="shared" si="38"/>
        <v/>
      </c>
    </row>
    <row r="182" spans="1:33" x14ac:dyDescent="0.25">
      <c r="A182" s="12" t="str">
        <f t="shared" si="39"/>
        <v/>
      </c>
      <c r="B182" s="16"/>
      <c r="C182" s="17"/>
      <c r="D182" s="18"/>
      <c r="E182" s="29"/>
      <c r="F182" s="27"/>
      <c r="G182" s="28"/>
      <c r="H182" s="19"/>
      <c r="I182" s="23"/>
      <c r="J182" s="82">
        <f t="shared" si="40"/>
        <v>0</v>
      </c>
      <c r="K182" s="30"/>
      <c r="L182" s="83" t="str">
        <f t="shared" si="41"/>
        <v/>
      </c>
      <c r="M182" s="23"/>
      <c r="Q182" s="12"/>
      <c r="S182"/>
      <c r="AA182" s="29"/>
      <c r="AB182" s="94"/>
      <c r="AC182" s="95"/>
      <c r="AD182" s="69"/>
      <c r="AE182" s="60">
        <f t="shared" si="37"/>
        <v>0</v>
      </c>
      <c r="AF182" s="96"/>
      <c r="AG182" s="69" t="str">
        <f t="shared" si="38"/>
        <v/>
      </c>
    </row>
    <row r="183" spans="1:33" x14ac:dyDescent="0.25">
      <c r="A183" s="12" t="str">
        <f t="shared" si="39"/>
        <v/>
      </c>
      <c r="B183" s="16"/>
      <c r="C183" s="17"/>
      <c r="D183" s="18"/>
      <c r="E183" s="29"/>
      <c r="F183" s="39"/>
      <c r="G183" s="40"/>
      <c r="H183" s="41"/>
      <c r="I183" s="42"/>
      <c r="J183" s="82">
        <f t="shared" si="40"/>
        <v>0</v>
      </c>
      <c r="K183" s="43"/>
      <c r="L183" s="83" t="str">
        <f t="shared" si="41"/>
        <v/>
      </c>
      <c r="M183" s="53"/>
      <c r="Q183" s="12"/>
      <c r="S183"/>
      <c r="AA183" s="29"/>
      <c r="AB183" s="39"/>
      <c r="AC183" s="40"/>
      <c r="AD183" s="53"/>
      <c r="AE183" s="59">
        <f t="shared" si="37"/>
        <v>0</v>
      </c>
      <c r="AF183" s="91"/>
      <c r="AG183" s="53" t="str">
        <f t="shared" si="38"/>
        <v/>
      </c>
    </row>
    <row r="184" spans="1:33" x14ac:dyDescent="0.25">
      <c r="A184" s="12" t="str">
        <f t="shared" si="39"/>
        <v/>
      </c>
      <c r="B184" s="16"/>
      <c r="C184" s="17"/>
      <c r="D184" s="18"/>
      <c r="E184" s="29"/>
      <c r="F184" s="27"/>
      <c r="G184" s="28"/>
      <c r="H184" s="19"/>
      <c r="I184" s="23"/>
      <c r="J184" s="82">
        <f t="shared" si="40"/>
        <v>0</v>
      </c>
      <c r="K184" s="30"/>
      <c r="L184" s="83" t="str">
        <f t="shared" si="41"/>
        <v/>
      </c>
      <c r="M184" s="23"/>
      <c r="Q184" s="12"/>
      <c r="S184"/>
      <c r="AA184" s="29"/>
      <c r="AB184" s="94"/>
      <c r="AC184" s="95"/>
      <c r="AD184" s="69"/>
      <c r="AE184" s="60">
        <f t="shared" si="37"/>
        <v>0</v>
      </c>
      <c r="AF184" s="96"/>
      <c r="AG184" s="69" t="str">
        <f t="shared" si="38"/>
        <v/>
      </c>
    </row>
    <row r="185" spans="1:33" x14ac:dyDescent="0.25">
      <c r="A185" s="12" t="str">
        <f t="shared" si="39"/>
        <v/>
      </c>
      <c r="B185" s="16"/>
      <c r="C185" s="17"/>
      <c r="D185" s="18"/>
      <c r="E185" s="29"/>
      <c r="F185" s="39"/>
      <c r="G185" s="40"/>
      <c r="H185" s="41"/>
      <c r="I185" s="42"/>
      <c r="J185" s="82">
        <f t="shared" si="40"/>
        <v>0</v>
      </c>
      <c r="K185" s="43"/>
      <c r="L185" s="83" t="str">
        <f t="shared" si="41"/>
        <v/>
      </c>
      <c r="M185" s="53"/>
      <c r="Q185" s="12"/>
      <c r="S185"/>
      <c r="AA185" s="29"/>
      <c r="AB185" s="39"/>
      <c r="AC185" s="40"/>
      <c r="AD185" s="53"/>
      <c r="AE185" s="59">
        <f t="shared" si="37"/>
        <v>0</v>
      </c>
      <c r="AF185" s="91"/>
      <c r="AG185" s="53" t="str">
        <f t="shared" si="38"/>
        <v/>
      </c>
    </row>
    <row r="186" spans="1:33" x14ac:dyDescent="0.25">
      <c r="A186" s="12" t="str">
        <f t="shared" si="39"/>
        <v/>
      </c>
      <c r="B186" s="16"/>
      <c r="C186" s="17"/>
      <c r="D186" s="18"/>
      <c r="E186" s="29"/>
      <c r="F186" s="27"/>
      <c r="G186" s="28"/>
      <c r="H186" s="19"/>
      <c r="I186" s="23"/>
      <c r="J186" s="82">
        <f t="shared" si="40"/>
        <v>0</v>
      </c>
      <c r="K186" s="30"/>
      <c r="L186" s="83" t="str">
        <f t="shared" si="41"/>
        <v/>
      </c>
      <c r="M186" s="23"/>
      <c r="Q186" s="12"/>
      <c r="S186"/>
      <c r="AA186" s="29"/>
      <c r="AB186" s="94"/>
      <c r="AC186" s="95"/>
      <c r="AD186" s="69"/>
      <c r="AE186" s="60">
        <f t="shared" si="37"/>
        <v>0</v>
      </c>
      <c r="AF186" s="96"/>
      <c r="AG186" s="69" t="str">
        <f t="shared" si="38"/>
        <v/>
      </c>
    </row>
    <row r="187" spans="1:33" x14ac:dyDescent="0.25">
      <c r="A187" s="12" t="str">
        <f t="shared" si="39"/>
        <v/>
      </c>
      <c r="B187" s="16"/>
      <c r="C187" s="17"/>
      <c r="D187" s="18"/>
      <c r="E187" s="29"/>
      <c r="F187" s="39"/>
      <c r="G187" s="40"/>
      <c r="H187" s="41"/>
      <c r="I187" s="42"/>
      <c r="J187" s="82">
        <f t="shared" si="40"/>
        <v>0</v>
      </c>
      <c r="K187" s="43"/>
      <c r="L187" s="83" t="str">
        <f t="shared" si="41"/>
        <v/>
      </c>
      <c r="M187" s="53"/>
      <c r="Q187" s="12"/>
      <c r="S187"/>
      <c r="AA187" s="29"/>
      <c r="AB187" s="39"/>
      <c r="AC187" s="40"/>
      <c r="AD187" s="53"/>
      <c r="AE187" s="59">
        <f t="shared" si="37"/>
        <v>0</v>
      </c>
      <c r="AF187" s="91"/>
      <c r="AG187" s="53" t="str">
        <f t="shared" si="38"/>
        <v/>
      </c>
    </row>
    <row r="188" spans="1:33" x14ac:dyDescent="0.25">
      <c r="A188" s="12" t="str">
        <f t="shared" si="39"/>
        <v/>
      </c>
      <c r="B188" s="16"/>
      <c r="C188" s="17"/>
      <c r="D188" s="18"/>
      <c r="E188" s="29"/>
      <c r="F188" s="27"/>
      <c r="G188" s="28"/>
      <c r="H188" s="19"/>
      <c r="I188" s="23"/>
      <c r="J188" s="82">
        <f t="shared" si="40"/>
        <v>0</v>
      </c>
      <c r="K188" s="30"/>
      <c r="L188" s="83" t="str">
        <f t="shared" si="41"/>
        <v/>
      </c>
      <c r="M188" s="23"/>
      <c r="Q188" s="12"/>
      <c r="S188"/>
      <c r="AA188" s="29"/>
      <c r="AB188" s="94"/>
      <c r="AC188" s="95"/>
      <c r="AD188" s="69"/>
      <c r="AE188" s="60">
        <f t="shared" si="37"/>
        <v>0</v>
      </c>
      <c r="AF188" s="96"/>
      <c r="AG188" s="69" t="str">
        <f t="shared" si="38"/>
        <v/>
      </c>
    </row>
    <row r="189" spans="1:33" x14ac:dyDescent="0.25">
      <c r="A189" s="12" t="str">
        <f t="shared" si="39"/>
        <v/>
      </c>
      <c r="B189" s="16"/>
      <c r="C189" s="17"/>
      <c r="D189" s="18"/>
      <c r="E189" s="29"/>
      <c r="F189" s="39"/>
      <c r="G189" s="40"/>
      <c r="H189" s="41"/>
      <c r="I189" s="42"/>
      <c r="J189" s="82">
        <f t="shared" si="40"/>
        <v>0</v>
      </c>
      <c r="K189" s="43"/>
      <c r="L189" s="83" t="str">
        <f t="shared" si="41"/>
        <v/>
      </c>
      <c r="M189" s="53"/>
      <c r="Q189" s="12"/>
      <c r="S189"/>
      <c r="AA189" s="29"/>
      <c r="AB189" s="39"/>
      <c r="AC189" s="40"/>
      <c r="AD189" s="53"/>
      <c r="AE189" s="59">
        <f t="shared" si="37"/>
        <v>0</v>
      </c>
      <c r="AF189" s="91"/>
      <c r="AG189" s="53" t="str">
        <f t="shared" si="38"/>
        <v/>
      </c>
    </row>
    <row r="190" spans="1:33" x14ac:dyDescent="0.25">
      <c r="A190" s="12" t="str">
        <f t="shared" si="39"/>
        <v/>
      </c>
      <c r="B190" s="16"/>
      <c r="C190" s="17"/>
      <c r="D190" s="18"/>
      <c r="E190" s="29"/>
      <c r="F190" s="27"/>
      <c r="G190" s="28"/>
      <c r="H190" s="19"/>
      <c r="I190" s="23"/>
      <c r="J190" s="82">
        <f t="shared" si="40"/>
        <v>0</v>
      </c>
      <c r="K190" s="30"/>
      <c r="L190" s="83" t="str">
        <f t="shared" si="41"/>
        <v/>
      </c>
      <c r="M190" s="23"/>
      <c r="Q190" s="12"/>
      <c r="S190"/>
      <c r="AA190" s="29"/>
      <c r="AB190" s="94"/>
      <c r="AC190" s="95"/>
      <c r="AD190" s="69"/>
      <c r="AE190" s="60">
        <f t="shared" si="37"/>
        <v>0</v>
      </c>
      <c r="AF190" s="96"/>
      <c r="AG190" s="69" t="str">
        <f t="shared" si="38"/>
        <v/>
      </c>
    </row>
    <row r="191" spans="1:33" x14ac:dyDescent="0.25">
      <c r="A191" s="12" t="str">
        <f t="shared" si="39"/>
        <v/>
      </c>
      <c r="B191" s="16"/>
      <c r="C191" s="17"/>
      <c r="D191" s="18"/>
      <c r="E191" s="29"/>
      <c r="F191" s="39"/>
      <c r="G191" s="40"/>
      <c r="H191" s="41"/>
      <c r="I191" s="42"/>
      <c r="J191" s="82">
        <f t="shared" si="40"/>
        <v>0</v>
      </c>
      <c r="K191" s="43"/>
      <c r="L191" s="83" t="str">
        <f t="shared" si="41"/>
        <v/>
      </c>
      <c r="M191" s="53"/>
      <c r="Q191" s="12"/>
      <c r="S191"/>
      <c r="AA191" s="29"/>
      <c r="AB191" s="39"/>
      <c r="AC191" s="40"/>
      <c r="AD191" s="53"/>
      <c r="AE191" s="59">
        <f t="shared" si="37"/>
        <v>0</v>
      </c>
      <c r="AF191" s="91"/>
      <c r="AG191" s="53" t="str">
        <f t="shared" si="38"/>
        <v/>
      </c>
    </row>
    <row r="192" spans="1:33" x14ac:dyDescent="0.25">
      <c r="A192" s="12" t="str">
        <f t="shared" si="39"/>
        <v/>
      </c>
      <c r="B192" s="16"/>
      <c r="C192" s="17"/>
      <c r="D192" s="18"/>
      <c r="E192" s="29"/>
      <c r="F192" s="27"/>
      <c r="G192" s="28"/>
      <c r="H192" s="19"/>
      <c r="I192" s="23"/>
      <c r="J192" s="82">
        <f t="shared" si="40"/>
        <v>0</v>
      </c>
      <c r="K192" s="30"/>
      <c r="L192" s="83" t="str">
        <f t="shared" si="41"/>
        <v/>
      </c>
      <c r="M192" s="23"/>
      <c r="Q192" s="12"/>
      <c r="S192"/>
      <c r="AA192" s="29"/>
      <c r="AB192" s="94"/>
      <c r="AC192" s="95"/>
      <c r="AD192" s="69"/>
      <c r="AE192" s="60">
        <f t="shared" si="37"/>
        <v>0</v>
      </c>
      <c r="AF192" s="96"/>
      <c r="AG192" s="69" t="str">
        <f t="shared" si="38"/>
        <v/>
      </c>
    </row>
    <row r="193" spans="1:33" x14ac:dyDescent="0.25">
      <c r="A193" s="12" t="str">
        <f t="shared" si="39"/>
        <v/>
      </c>
      <c r="B193" s="16"/>
      <c r="C193" s="17"/>
      <c r="D193" s="18"/>
      <c r="E193" s="29"/>
      <c r="F193" s="39"/>
      <c r="G193" s="40"/>
      <c r="H193" s="41"/>
      <c r="I193" s="42"/>
      <c r="J193" s="82">
        <f t="shared" si="40"/>
        <v>0</v>
      </c>
      <c r="K193" s="43"/>
      <c r="L193" s="83" t="str">
        <f t="shared" si="41"/>
        <v/>
      </c>
      <c r="M193" s="53"/>
      <c r="Q193" s="12"/>
      <c r="S193"/>
      <c r="AA193" s="29"/>
      <c r="AB193" s="39"/>
      <c r="AC193" s="40"/>
      <c r="AD193" s="53"/>
      <c r="AE193" s="59">
        <f t="shared" si="37"/>
        <v>0</v>
      </c>
      <c r="AF193" s="91"/>
      <c r="AG193" s="53" t="str">
        <f t="shared" si="38"/>
        <v/>
      </c>
    </row>
    <row r="194" spans="1:33" x14ac:dyDescent="0.25">
      <c r="A194" s="12" t="str">
        <f t="shared" si="39"/>
        <v/>
      </c>
      <c r="B194" s="16"/>
      <c r="C194" s="17"/>
      <c r="D194" s="18"/>
      <c r="E194" s="29"/>
      <c r="F194" s="27"/>
      <c r="G194" s="28"/>
      <c r="H194" s="19"/>
      <c r="I194" s="23"/>
      <c r="J194" s="82">
        <f t="shared" si="40"/>
        <v>0</v>
      </c>
      <c r="K194" s="30"/>
      <c r="L194" s="83" t="str">
        <f t="shared" si="41"/>
        <v/>
      </c>
      <c r="M194" s="23"/>
      <c r="Q194" s="12"/>
      <c r="S194"/>
      <c r="AA194" s="29"/>
      <c r="AB194" s="94"/>
      <c r="AC194" s="95"/>
      <c r="AD194" s="69"/>
      <c r="AE194" s="60">
        <f t="shared" si="37"/>
        <v>0</v>
      </c>
      <c r="AF194" s="96"/>
      <c r="AG194" s="69" t="str">
        <f t="shared" si="38"/>
        <v/>
      </c>
    </row>
    <row r="195" spans="1:33" x14ac:dyDescent="0.25">
      <c r="A195" s="12" t="str">
        <f t="shared" si="39"/>
        <v/>
      </c>
      <c r="B195" s="16"/>
      <c r="C195" s="17"/>
      <c r="D195" s="18"/>
      <c r="E195" s="29"/>
      <c r="F195" s="39"/>
      <c r="G195" s="40"/>
      <c r="H195" s="41"/>
      <c r="I195" s="42"/>
      <c r="J195" s="82">
        <f t="shared" si="40"/>
        <v>0</v>
      </c>
      <c r="K195" s="43"/>
      <c r="L195" s="83" t="str">
        <f t="shared" si="41"/>
        <v/>
      </c>
      <c r="M195" s="53"/>
      <c r="Q195" s="12"/>
      <c r="S195"/>
      <c r="AA195" s="29"/>
      <c r="AB195" s="39"/>
      <c r="AC195" s="40"/>
      <c r="AD195" s="53"/>
      <c r="AE195" s="59">
        <f t="shared" si="37"/>
        <v>0</v>
      </c>
      <c r="AF195" s="91"/>
      <c r="AG195" s="53" t="str">
        <f t="shared" si="38"/>
        <v/>
      </c>
    </row>
    <row r="196" spans="1:33" x14ac:dyDescent="0.25">
      <c r="A196" s="12" t="str">
        <f t="shared" si="39"/>
        <v/>
      </c>
      <c r="B196" s="16"/>
      <c r="C196" s="17"/>
      <c r="D196" s="18"/>
      <c r="E196" s="29"/>
      <c r="F196" s="27"/>
      <c r="G196" s="28"/>
      <c r="H196" s="19"/>
      <c r="I196" s="23"/>
      <c r="J196" s="82">
        <f t="shared" si="40"/>
        <v>0</v>
      </c>
      <c r="K196" s="30"/>
      <c r="L196" s="83" t="str">
        <f t="shared" si="41"/>
        <v/>
      </c>
      <c r="M196" s="23"/>
      <c r="Q196" s="12"/>
      <c r="S196"/>
      <c r="AA196" s="29"/>
      <c r="AB196" s="94"/>
      <c r="AC196" s="95"/>
      <c r="AD196" s="69"/>
      <c r="AE196" s="60">
        <f t="shared" si="37"/>
        <v>0</v>
      </c>
      <c r="AF196" s="96"/>
      <c r="AG196" s="69" t="str">
        <f t="shared" si="38"/>
        <v/>
      </c>
    </row>
    <row r="197" spans="1:33" x14ac:dyDescent="0.25">
      <c r="A197" s="12" t="str">
        <f t="shared" si="39"/>
        <v/>
      </c>
      <c r="B197" s="16"/>
      <c r="C197" s="17"/>
      <c r="D197" s="18"/>
      <c r="E197" s="29"/>
      <c r="F197" s="39"/>
      <c r="G197" s="40"/>
      <c r="H197" s="41"/>
      <c r="I197" s="42"/>
      <c r="J197" s="82">
        <f t="shared" si="40"/>
        <v>0</v>
      </c>
      <c r="K197" s="43"/>
      <c r="L197" s="83" t="str">
        <f t="shared" si="41"/>
        <v/>
      </c>
      <c r="M197" s="53"/>
      <c r="Q197" s="12"/>
      <c r="S197"/>
      <c r="AA197" s="29"/>
      <c r="AB197" s="39"/>
      <c r="AC197" s="40"/>
      <c r="AD197" s="53"/>
      <c r="AE197" s="59">
        <f t="shared" si="37"/>
        <v>0</v>
      </c>
      <c r="AF197" s="91"/>
      <c r="AG197" s="53" t="str">
        <f t="shared" si="38"/>
        <v/>
      </c>
    </row>
    <row r="198" spans="1:33" x14ac:dyDescent="0.25">
      <c r="A198" s="12" t="str">
        <f t="shared" si="39"/>
        <v/>
      </c>
      <c r="B198" s="16"/>
      <c r="C198" s="17"/>
      <c r="D198" s="18"/>
      <c r="E198" s="29"/>
      <c r="F198" s="27"/>
      <c r="G198" s="28"/>
      <c r="H198" s="19"/>
      <c r="I198" s="23"/>
      <c r="J198" s="82">
        <f t="shared" si="40"/>
        <v>0</v>
      </c>
      <c r="K198" s="30"/>
      <c r="L198" s="83" t="str">
        <f t="shared" si="41"/>
        <v/>
      </c>
      <c r="M198" s="23"/>
      <c r="Q198" s="12"/>
      <c r="S198"/>
      <c r="AA198" s="29"/>
      <c r="AB198" s="94"/>
      <c r="AC198" s="95"/>
      <c r="AD198" s="69"/>
      <c r="AE198" s="60">
        <f t="shared" si="37"/>
        <v>0</v>
      </c>
      <c r="AF198" s="96"/>
      <c r="AG198" s="69" t="str">
        <f t="shared" si="38"/>
        <v/>
      </c>
    </row>
    <row r="199" spans="1:33" x14ac:dyDescent="0.25">
      <c r="A199" s="12" t="str">
        <f t="shared" si="39"/>
        <v/>
      </c>
      <c r="B199" s="16"/>
      <c r="C199" s="17"/>
      <c r="D199" s="18"/>
      <c r="E199" s="29"/>
      <c r="F199" s="39"/>
      <c r="G199" s="40"/>
      <c r="H199" s="41"/>
      <c r="I199" s="42"/>
      <c r="J199" s="82">
        <f t="shared" si="40"/>
        <v>0</v>
      </c>
      <c r="K199" s="43"/>
      <c r="L199" s="83" t="str">
        <f t="shared" si="41"/>
        <v/>
      </c>
      <c r="M199" s="53"/>
      <c r="Q199" s="12"/>
      <c r="S199"/>
      <c r="AA199" s="29"/>
      <c r="AB199" s="39"/>
      <c r="AC199" s="40"/>
      <c r="AD199" s="53"/>
      <c r="AE199" s="59">
        <f t="shared" si="37"/>
        <v>0</v>
      </c>
      <c r="AF199" s="91"/>
      <c r="AG199" s="53" t="str">
        <f t="shared" si="38"/>
        <v/>
      </c>
    </row>
    <row r="200" spans="1:33" x14ac:dyDescent="0.25">
      <c r="A200" s="12" t="str">
        <f t="shared" si="39"/>
        <v/>
      </c>
      <c r="B200" s="16"/>
      <c r="C200" s="17"/>
      <c r="D200" s="18"/>
      <c r="E200" s="29"/>
      <c r="F200" s="27"/>
      <c r="G200" s="28"/>
      <c r="H200" s="19"/>
      <c r="I200" s="23"/>
      <c r="J200" s="82">
        <f t="shared" si="40"/>
        <v>0</v>
      </c>
      <c r="K200" s="30"/>
      <c r="L200" s="83" t="str">
        <f t="shared" si="41"/>
        <v/>
      </c>
      <c r="M200" s="23"/>
      <c r="Q200" s="12"/>
      <c r="S200"/>
      <c r="AA200" s="29"/>
      <c r="AB200" s="94"/>
      <c r="AC200" s="95"/>
      <c r="AD200" s="69"/>
      <c r="AE200" s="60">
        <f t="shared" si="37"/>
        <v>0</v>
      </c>
      <c r="AF200" s="96"/>
      <c r="AG200" s="69" t="str">
        <f t="shared" si="38"/>
        <v/>
      </c>
    </row>
    <row r="201" spans="1:33" x14ac:dyDescent="0.25">
      <c r="A201" s="12" t="str">
        <f t="shared" si="39"/>
        <v/>
      </c>
      <c r="B201" s="16"/>
      <c r="C201" s="17"/>
      <c r="D201" s="18"/>
      <c r="E201" s="29"/>
      <c r="F201" s="39"/>
      <c r="G201" s="40"/>
      <c r="H201" s="41"/>
      <c r="I201" s="42"/>
      <c r="J201" s="82">
        <f t="shared" si="40"/>
        <v>0</v>
      </c>
      <c r="K201" s="43"/>
      <c r="L201" s="83" t="str">
        <f t="shared" si="41"/>
        <v/>
      </c>
      <c r="M201" s="53"/>
      <c r="Q201" s="12"/>
      <c r="S201"/>
      <c r="AA201" s="29"/>
      <c r="AB201" s="39"/>
      <c r="AC201" s="40"/>
      <c r="AD201" s="53"/>
      <c r="AE201" s="59">
        <f t="shared" si="37"/>
        <v>0</v>
      </c>
      <c r="AF201" s="91"/>
      <c r="AG201" s="53" t="str">
        <f t="shared" si="38"/>
        <v/>
      </c>
    </row>
    <row r="202" spans="1:33" x14ac:dyDescent="0.25">
      <c r="A202" s="12" t="str">
        <f t="shared" si="39"/>
        <v/>
      </c>
      <c r="B202" s="16"/>
      <c r="C202" s="17"/>
      <c r="D202" s="18"/>
      <c r="E202" s="29"/>
      <c r="F202" s="27"/>
      <c r="G202" s="28"/>
      <c r="H202" s="19"/>
      <c r="I202" s="23"/>
      <c r="J202" s="82">
        <f t="shared" si="40"/>
        <v>0</v>
      </c>
      <c r="K202" s="30"/>
      <c r="L202" s="83" t="str">
        <f t="shared" si="41"/>
        <v/>
      </c>
      <c r="M202" s="23"/>
      <c r="Q202" s="12"/>
      <c r="S202"/>
      <c r="AA202" s="29"/>
      <c r="AB202" s="94"/>
      <c r="AC202" s="95"/>
      <c r="AD202" s="69"/>
      <c r="AE202" s="60">
        <f t="shared" si="37"/>
        <v>0</v>
      </c>
      <c r="AF202" s="96"/>
      <c r="AG202" s="69" t="str">
        <f t="shared" si="38"/>
        <v/>
      </c>
    </row>
    <row r="203" spans="1:33" x14ac:dyDescent="0.25">
      <c r="A203" s="12" t="str">
        <f t="shared" si="39"/>
        <v/>
      </c>
      <c r="B203" s="16"/>
      <c r="C203" s="17"/>
      <c r="D203" s="18"/>
      <c r="E203" s="29"/>
      <c r="F203" s="39"/>
      <c r="G203" s="40"/>
      <c r="H203" s="41"/>
      <c r="I203" s="42"/>
      <c r="J203" s="82">
        <f t="shared" si="40"/>
        <v>0</v>
      </c>
      <c r="K203" s="43"/>
      <c r="L203" s="83" t="str">
        <f t="shared" si="41"/>
        <v/>
      </c>
      <c r="M203" s="53"/>
      <c r="Q203" s="12"/>
      <c r="S203"/>
      <c r="AA203" s="29"/>
      <c r="AB203" s="39"/>
      <c r="AC203" s="40"/>
      <c r="AD203" s="53"/>
      <c r="AE203" s="59">
        <f t="shared" si="37"/>
        <v>0</v>
      </c>
      <c r="AF203" s="91"/>
      <c r="AG203" s="53" t="str">
        <f t="shared" si="38"/>
        <v/>
      </c>
    </row>
    <row r="204" spans="1:33" x14ac:dyDescent="0.25">
      <c r="A204" s="12" t="str">
        <f t="shared" si="39"/>
        <v/>
      </c>
      <c r="B204" s="16"/>
      <c r="C204" s="17"/>
      <c r="D204" s="18"/>
      <c r="E204" s="29"/>
      <c r="F204" s="27"/>
      <c r="G204" s="28"/>
      <c r="H204" s="19"/>
      <c r="I204" s="23"/>
      <c r="J204" s="82">
        <f t="shared" si="40"/>
        <v>0</v>
      </c>
      <c r="K204" s="30"/>
      <c r="L204" s="83" t="str">
        <f t="shared" si="41"/>
        <v/>
      </c>
      <c r="M204" s="23"/>
      <c r="Q204" s="12"/>
      <c r="S204"/>
      <c r="AA204" s="29"/>
      <c r="AB204" s="94"/>
      <c r="AC204" s="95"/>
      <c r="AD204" s="69"/>
      <c r="AE204" s="60">
        <f t="shared" si="37"/>
        <v>0</v>
      </c>
      <c r="AF204" s="96"/>
      <c r="AG204" s="69" t="str">
        <f t="shared" si="38"/>
        <v/>
      </c>
    </row>
    <row r="205" spans="1:33" x14ac:dyDescent="0.25">
      <c r="A205" s="12" t="str">
        <f t="shared" si="39"/>
        <v/>
      </c>
      <c r="B205" s="16"/>
      <c r="C205" s="17"/>
      <c r="D205" s="18"/>
      <c r="E205" s="29"/>
      <c r="F205" s="39"/>
      <c r="G205" s="40"/>
      <c r="H205" s="41"/>
      <c r="I205" s="42"/>
      <c r="J205" s="82">
        <f t="shared" si="40"/>
        <v>0</v>
      </c>
      <c r="K205" s="43"/>
      <c r="L205" s="83" t="str">
        <f t="shared" si="41"/>
        <v/>
      </c>
      <c r="M205" s="53"/>
      <c r="Q205" s="12"/>
      <c r="S205"/>
      <c r="AA205" s="29"/>
      <c r="AB205" s="39"/>
      <c r="AC205" s="40"/>
      <c r="AD205" s="53"/>
      <c r="AE205" s="59">
        <f t="shared" ref="AE205:AE220" si="42">IF(AA205="entrada",AD205,AD205*-1)</f>
        <v>0</v>
      </c>
      <c r="AF205" s="91"/>
      <c r="AG205" s="53" t="str">
        <f t="shared" ref="AG205:AG220" si="43">IF(AE205=0,"",SUM(AG204,AE205))</f>
        <v/>
      </c>
    </row>
    <row r="206" spans="1:33" x14ac:dyDescent="0.25">
      <c r="A206" s="12" t="str">
        <f t="shared" si="39"/>
        <v/>
      </c>
      <c r="B206" s="16"/>
      <c r="C206" s="17"/>
      <c r="D206" s="18"/>
      <c r="E206" s="29"/>
      <c r="F206" s="27"/>
      <c r="G206" s="28"/>
      <c r="H206" s="19"/>
      <c r="I206" s="23"/>
      <c r="J206" s="82">
        <f t="shared" si="40"/>
        <v>0</v>
      </c>
      <c r="K206" s="30"/>
      <c r="L206" s="83" t="str">
        <f t="shared" si="41"/>
        <v/>
      </c>
      <c r="M206" s="23"/>
      <c r="Q206" s="12"/>
      <c r="S206"/>
      <c r="AA206" s="29"/>
      <c r="AB206" s="94"/>
      <c r="AC206" s="95"/>
      <c r="AD206" s="69"/>
      <c r="AE206" s="60">
        <f t="shared" si="42"/>
        <v>0</v>
      </c>
      <c r="AF206" s="96"/>
      <c r="AG206" s="69" t="str">
        <f t="shared" si="43"/>
        <v/>
      </c>
    </row>
    <row r="207" spans="1:33" x14ac:dyDescent="0.25">
      <c r="A207" s="12" t="str">
        <f t="shared" si="39"/>
        <v/>
      </c>
      <c r="B207" s="16"/>
      <c r="C207" s="17"/>
      <c r="D207" s="18"/>
      <c r="E207" s="29"/>
      <c r="F207" s="39"/>
      <c r="G207" s="40"/>
      <c r="H207" s="41"/>
      <c r="I207" s="42"/>
      <c r="J207" s="82">
        <f t="shared" si="40"/>
        <v>0</v>
      </c>
      <c r="K207" s="43"/>
      <c r="L207" s="83" t="str">
        <f t="shared" si="41"/>
        <v/>
      </c>
      <c r="M207" s="53"/>
      <c r="Q207" s="12"/>
      <c r="S207"/>
      <c r="AA207" s="29"/>
      <c r="AB207" s="39"/>
      <c r="AC207" s="40"/>
      <c r="AD207" s="53"/>
      <c r="AE207" s="59">
        <f t="shared" si="42"/>
        <v>0</v>
      </c>
      <c r="AF207" s="91"/>
      <c r="AG207" s="53" t="str">
        <f t="shared" si="43"/>
        <v/>
      </c>
    </row>
    <row r="208" spans="1:33" x14ac:dyDescent="0.25">
      <c r="A208" s="12" t="str">
        <f t="shared" si="39"/>
        <v/>
      </c>
      <c r="B208" s="16"/>
      <c r="C208" s="17"/>
      <c r="D208" s="18"/>
      <c r="E208" s="29"/>
      <c r="F208" s="27"/>
      <c r="G208" s="28"/>
      <c r="H208" s="19"/>
      <c r="I208" s="23"/>
      <c r="J208" s="82">
        <f t="shared" si="40"/>
        <v>0</v>
      </c>
      <c r="K208" s="30"/>
      <c r="L208" s="83" t="str">
        <f t="shared" si="41"/>
        <v/>
      </c>
      <c r="M208" s="23"/>
      <c r="Q208" s="12"/>
      <c r="S208"/>
      <c r="AA208" s="29"/>
      <c r="AB208" s="94"/>
      <c r="AC208" s="95"/>
      <c r="AD208" s="69"/>
      <c r="AE208" s="60">
        <f t="shared" si="42"/>
        <v>0</v>
      </c>
      <c r="AF208" s="96"/>
      <c r="AG208" s="69" t="str">
        <f t="shared" si="43"/>
        <v/>
      </c>
    </row>
    <row r="209" spans="1:33" x14ac:dyDescent="0.25">
      <c r="A209" s="12" t="str">
        <f t="shared" si="39"/>
        <v/>
      </c>
      <c r="B209" s="16"/>
      <c r="C209" s="17"/>
      <c r="D209" s="18"/>
      <c r="E209" s="29"/>
      <c r="F209" s="39"/>
      <c r="G209" s="40"/>
      <c r="H209" s="41"/>
      <c r="I209" s="42"/>
      <c r="J209" s="82">
        <f t="shared" si="40"/>
        <v>0</v>
      </c>
      <c r="K209" s="43"/>
      <c r="L209" s="83" t="str">
        <f t="shared" si="41"/>
        <v/>
      </c>
      <c r="M209" s="53"/>
      <c r="Q209" s="12"/>
      <c r="S209"/>
      <c r="AA209" s="29"/>
      <c r="AB209" s="39"/>
      <c r="AC209" s="40"/>
      <c r="AD209" s="53"/>
      <c r="AE209" s="59">
        <f t="shared" si="42"/>
        <v>0</v>
      </c>
      <c r="AF209" s="91"/>
      <c r="AG209" s="53" t="str">
        <f t="shared" si="43"/>
        <v/>
      </c>
    </row>
    <row r="210" spans="1:33" x14ac:dyDescent="0.25">
      <c r="A210" s="12" t="str">
        <f t="shared" si="39"/>
        <v/>
      </c>
      <c r="B210" s="16"/>
      <c r="C210" s="17"/>
      <c r="D210" s="18"/>
      <c r="E210" s="29"/>
      <c r="F210" s="27"/>
      <c r="G210" s="28"/>
      <c r="H210" s="19"/>
      <c r="I210" s="23"/>
      <c r="J210" s="82">
        <f t="shared" si="40"/>
        <v>0</v>
      </c>
      <c r="K210" s="30"/>
      <c r="L210" s="83" t="str">
        <f t="shared" si="41"/>
        <v/>
      </c>
      <c r="M210" s="23"/>
      <c r="Q210" s="12"/>
      <c r="S210"/>
      <c r="AA210" s="29"/>
      <c r="AB210" s="94"/>
      <c r="AC210" s="95"/>
      <c r="AD210" s="69"/>
      <c r="AE210" s="60">
        <f t="shared" si="42"/>
        <v>0</v>
      </c>
      <c r="AF210" s="96"/>
      <c r="AG210" s="69" t="str">
        <f t="shared" si="43"/>
        <v/>
      </c>
    </row>
    <row r="211" spans="1:33" x14ac:dyDescent="0.25">
      <c r="A211" s="12" t="str">
        <f t="shared" si="39"/>
        <v/>
      </c>
      <c r="B211" s="16"/>
      <c r="C211" s="17"/>
      <c r="D211" s="18"/>
      <c r="E211" s="29"/>
      <c r="F211" s="39"/>
      <c r="G211" s="40"/>
      <c r="H211" s="41"/>
      <c r="I211" s="42"/>
      <c r="J211" s="82">
        <f t="shared" si="40"/>
        <v>0</v>
      </c>
      <c r="K211" s="43"/>
      <c r="L211" s="83" t="str">
        <f t="shared" si="41"/>
        <v/>
      </c>
      <c r="M211" s="53"/>
      <c r="Q211" s="12"/>
      <c r="S211"/>
      <c r="AA211" s="29"/>
      <c r="AB211" s="39"/>
      <c r="AC211" s="40"/>
      <c r="AD211" s="53"/>
      <c r="AE211" s="59">
        <f t="shared" si="42"/>
        <v>0</v>
      </c>
      <c r="AF211" s="91"/>
      <c r="AG211" s="53" t="str">
        <f t="shared" si="43"/>
        <v/>
      </c>
    </row>
    <row r="212" spans="1:33" x14ac:dyDescent="0.25">
      <c r="A212" s="12" t="str">
        <f t="shared" si="39"/>
        <v/>
      </c>
      <c r="B212" s="16"/>
      <c r="C212" s="17"/>
      <c r="D212" s="18"/>
      <c r="E212" s="29"/>
      <c r="F212" s="27"/>
      <c r="G212" s="28"/>
      <c r="H212" s="19"/>
      <c r="I212" s="23"/>
      <c r="J212" s="82">
        <f t="shared" si="40"/>
        <v>0</v>
      </c>
      <c r="K212" s="30"/>
      <c r="L212" s="83" t="str">
        <f t="shared" si="41"/>
        <v/>
      </c>
      <c r="M212" s="23"/>
      <c r="Q212" s="12"/>
      <c r="S212"/>
      <c r="AA212" s="29"/>
      <c r="AB212" s="94"/>
      <c r="AC212" s="95"/>
      <c r="AD212" s="69"/>
      <c r="AE212" s="60">
        <f t="shared" si="42"/>
        <v>0</v>
      </c>
      <c r="AF212" s="96"/>
      <c r="AG212" s="69" t="str">
        <f t="shared" si="43"/>
        <v/>
      </c>
    </row>
    <row r="213" spans="1:33" x14ac:dyDescent="0.25">
      <c r="A213" s="12" t="str">
        <f t="shared" si="39"/>
        <v/>
      </c>
      <c r="B213" s="16"/>
      <c r="C213" s="17"/>
      <c r="D213" s="18"/>
      <c r="E213" s="29"/>
      <c r="F213" s="39"/>
      <c r="G213" s="40"/>
      <c r="H213" s="41"/>
      <c r="I213" s="42"/>
      <c r="J213" s="82">
        <f t="shared" si="40"/>
        <v>0</v>
      </c>
      <c r="K213" s="43"/>
      <c r="L213" s="83" t="str">
        <f t="shared" si="41"/>
        <v/>
      </c>
      <c r="M213" s="53"/>
      <c r="Q213" s="12"/>
      <c r="S213"/>
      <c r="AA213" s="29"/>
      <c r="AB213" s="39"/>
      <c r="AC213" s="40"/>
      <c r="AD213" s="53"/>
      <c r="AE213" s="59">
        <f t="shared" si="42"/>
        <v>0</v>
      </c>
      <c r="AF213" s="91"/>
      <c r="AG213" s="53" t="str">
        <f t="shared" si="43"/>
        <v/>
      </c>
    </row>
    <row r="214" spans="1:33" x14ac:dyDescent="0.25">
      <c r="A214" s="12" t="str">
        <f t="shared" si="39"/>
        <v/>
      </c>
      <c r="B214" s="16"/>
      <c r="C214" s="17"/>
      <c r="D214" s="18"/>
      <c r="E214" s="29"/>
      <c r="F214" s="27"/>
      <c r="G214" s="28"/>
      <c r="H214" s="19"/>
      <c r="I214" s="23"/>
      <c r="J214" s="82">
        <f t="shared" si="40"/>
        <v>0</v>
      </c>
      <c r="K214" s="30"/>
      <c r="L214" s="83" t="str">
        <f t="shared" si="41"/>
        <v/>
      </c>
      <c r="M214" s="23"/>
      <c r="Q214" s="12"/>
      <c r="S214"/>
      <c r="AA214" s="29"/>
      <c r="AB214" s="94"/>
      <c r="AC214" s="95"/>
      <c r="AD214" s="69"/>
      <c r="AE214" s="60">
        <f t="shared" si="42"/>
        <v>0</v>
      </c>
      <c r="AF214" s="96"/>
      <c r="AG214" s="69" t="str">
        <f t="shared" si="43"/>
        <v/>
      </c>
    </row>
    <row r="215" spans="1:33" x14ac:dyDescent="0.25">
      <c r="A215" s="12" t="str">
        <f t="shared" si="39"/>
        <v/>
      </c>
      <c r="B215" s="16"/>
      <c r="C215" s="17"/>
      <c r="D215" s="18"/>
      <c r="E215" s="29"/>
      <c r="F215" s="39"/>
      <c r="G215" s="40"/>
      <c r="H215" s="41"/>
      <c r="I215" s="42"/>
      <c r="J215" s="82">
        <f t="shared" si="40"/>
        <v>0</v>
      </c>
      <c r="K215" s="43"/>
      <c r="L215" s="83" t="str">
        <f t="shared" si="41"/>
        <v/>
      </c>
      <c r="M215" s="53"/>
      <c r="Q215" s="12"/>
      <c r="S215"/>
      <c r="AA215" s="29"/>
      <c r="AB215" s="39"/>
      <c r="AC215" s="40"/>
      <c r="AD215" s="53"/>
      <c r="AE215" s="59">
        <f t="shared" si="42"/>
        <v>0</v>
      </c>
      <c r="AF215" s="91"/>
      <c r="AG215" s="53" t="str">
        <f t="shared" si="43"/>
        <v/>
      </c>
    </row>
    <row r="216" spans="1:33" x14ac:dyDescent="0.25">
      <c r="A216" s="12" t="str">
        <f t="shared" si="39"/>
        <v/>
      </c>
      <c r="B216" s="16"/>
      <c r="C216" s="17"/>
      <c r="D216" s="18"/>
      <c r="E216" s="29"/>
      <c r="F216" s="27"/>
      <c r="G216" s="28"/>
      <c r="H216" s="19"/>
      <c r="I216" s="23"/>
      <c r="J216" s="82">
        <f t="shared" si="40"/>
        <v>0</v>
      </c>
      <c r="K216" s="30"/>
      <c r="L216" s="83" t="str">
        <f t="shared" si="41"/>
        <v/>
      </c>
      <c r="M216" s="23"/>
      <c r="Q216" s="12"/>
      <c r="S216"/>
      <c r="AA216" s="29"/>
      <c r="AB216" s="94"/>
      <c r="AC216" s="95"/>
      <c r="AD216" s="69"/>
      <c r="AE216" s="60">
        <f t="shared" si="42"/>
        <v>0</v>
      </c>
      <c r="AF216" s="96"/>
      <c r="AG216" s="69" t="str">
        <f t="shared" si="43"/>
        <v/>
      </c>
    </row>
    <row r="217" spans="1:33" x14ac:dyDescent="0.25">
      <c r="A217" s="12" t="str">
        <f t="shared" si="39"/>
        <v/>
      </c>
      <c r="B217" s="16"/>
      <c r="C217" s="17"/>
      <c r="D217" s="18"/>
      <c r="E217" s="29"/>
      <c r="F217" s="39"/>
      <c r="G217" s="40"/>
      <c r="H217" s="41"/>
      <c r="I217" s="42"/>
      <c r="J217" s="82">
        <f t="shared" si="40"/>
        <v>0</v>
      </c>
      <c r="K217" s="43"/>
      <c r="L217" s="83" t="str">
        <f t="shared" si="41"/>
        <v/>
      </c>
      <c r="M217" s="53"/>
      <c r="Q217" s="12"/>
      <c r="S217"/>
      <c r="AA217" s="29"/>
      <c r="AB217" s="39"/>
      <c r="AC217" s="40"/>
      <c r="AD217" s="53"/>
      <c r="AE217" s="59">
        <f t="shared" si="42"/>
        <v>0</v>
      </c>
      <c r="AF217" s="91"/>
      <c r="AG217" s="53" t="str">
        <f t="shared" si="43"/>
        <v/>
      </c>
    </row>
    <row r="218" spans="1:33" x14ac:dyDescent="0.25">
      <c r="A218" s="12" t="str">
        <f t="shared" si="39"/>
        <v/>
      </c>
      <c r="B218" s="16"/>
      <c r="C218" s="17"/>
      <c r="D218" s="18"/>
      <c r="E218" s="29"/>
      <c r="F218" s="27"/>
      <c r="G218" s="28"/>
      <c r="H218" s="19"/>
      <c r="I218" s="23"/>
      <c r="J218" s="82">
        <f t="shared" si="40"/>
        <v>0</v>
      </c>
      <c r="K218" s="30"/>
      <c r="L218" s="83" t="str">
        <f t="shared" si="41"/>
        <v/>
      </c>
      <c r="M218" s="23"/>
      <c r="Q218" s="12"/>
      <c r="S218"/>
      <c r="AA218" s="29"/>
      <c r="AB218" s="94"/>
      <c r="AC218" s="95"/>
      <c r="AD218" s="69"/>
      <c r="AE218" s="60">
        <f t="shared" si="42"/>
        <v>0</v>
      </c>
      <c r="AF218" s="96"/>
      <c r="AG218" s="69" t="str">
        <f t="shared" si="43"/>
        <v/>
      </c>
    </row>
    <row r="219" spans="1:33" x14ac:dyDescent="0.25">
      <c r="A219" s="12" t="str">
        <f t="shared" si="39"/>
        <v/>
      </c>
      <c r="B219" s="16"/>
      <c r="C219" s="17"/>
      <c r="D219" s="18"/>
      <c r="E219" s="29"/>
      <c r="F219" s="39"/>
      <c r="G219" s="40"/>
      <c r="H219" s="41"/>
      <c r="I219" s="42"/>
      <c r="J219" s="82">
        <f t="shared" si="40"/>
        <v>0</v>
      </c>
      <c r="K219" s="43"/>
      <c r="L219" s="83" t="str">
        <f t="shared" si="41"/>
        <v/>
      </c>
      <c r="M219" s="53"/>
      <c r="Q219" s="12"/>
      <c r="S219"/>
      <c r="AA219" s="29"/>
      <c r="AB219" s="39"/>
      <c r="AC219" s="40"/>
      <c r="AD219" s="53"/>
      <c r="AE219" s="59">
        <f t="shared" si="42"/>
        <v>0</v>
      </c>
      <c r="AF219" s="91"/>
      <c r="AG219" s="53" t="str">
        <f t="shared" si="43"/>
        <v/>
      </c>
    </row>
    <row r="220" spans="1:33" x14ac:dyDescent="0.25">
      <c r="A220" s="12" t="str">
        <f t="shared" si="39"/>
        <v/>
      </c>
      <c r="B220" s="16"/>
      <c r="C220" s="17"/>
      <c r="D220" s="18"/>
      <c r="E220" s="29"/>
      <c r="F220" s="27"/>
      <c r="G220" s="28"/>
      <c r="H220" s="19"/>
      <c r="I220" s="23"/>
      <c r="J220" s="82">
        <f t="shared" si="40"/>
        <v>0</v>
      </c>
      <c r="K220" s="30"/>
      <c r="L220" s="83" t="str">
        <f t="shared" si="41"/>
        <v/>
      </c>
      <c r="M220" s="23"/>
      <c r="Q220" s="12"/>
      <c r="S220"/>
      <c r="AA220" s="29"/>
      <c r="AB220" s="94"/>
      <c r="AC220" s="95"/>
      <c r="AD220" s="69"/>
      <c r="AE220" s="60">
        <f t="shared" si="42"/>
        <v>0</v>
      </c>
      <c r="AF220" s="96"/>
      <c r="AG220" s="69" t="str">
        <f t="shared" si="43"/>
        <v/>
      </c>
    </row>
    <row r="221" spans="1:33" x14ac:dyDescent="0.25">
      <c r="A221" s="12" t="str">
        <f t="shared" si="39"/>
        <v/>
      </c>
      <c r="B221" s="16"/>
      <c r="C221" s="17"/>
      <c r="D221" s="18"/>
      <c r="E221" s="29"/>
      <c r="F221" s="39"/>
      <c r="G221" s="40"/>
      <c r="H221" s="41"/>
      <c r="I221" s="42"/>
      <c r="J221" s="82">
        <f t="shared" si="40"/>
        <v>0</v>
      </c>
      <c r="K221" s="43"/>
      <c r="L221" s="83" t="str">
        <f t="shared" si="41"/>
        <v/>
      </c>
      <c r="M221" s="53"/>
      <c r="Q221" s="12"/>
      <c r="S221"/>
    </row>
    <row r="222" spans="1:33" x14ac:dyDescent="0.25">
      <c r="A222" s="12" t="str">
        <f t="shared" si="39"/>
        <v/>
      </c>
      <c r="B222" s="16"/>
      <c r="C222" s="17"/>
      <c r="D222" s="18"/>
      <c r="E222" s="29"/>
      <c r="F222" s="27"/>
      <c r="G222" s="28"/>
      <c r="H222" s="19"/>
      <c r="I222" s="23"/>
      <c r="J222" s="82">
        <f t="shared" si="40"/>
        <v>0</v>
      </c>
      <c r="K222" s="30"/>
      <c r="L222" s="83" t="str">
        <f t="shared" si="41"/>
        <v/>
      </c>
      <c r="M222" s="23"/>
      <c r="Q222" s="12"/>
      <c r="S222"/>
    </row>
    <row r="223" spans="1:33" x14ac:dyDescent="0.25">
      <c r="A223" s="12" t="str">
        <f t="shared" si="39"/>
        <v/>
      </c>
      <c r="B223" s="16"/>
      <c r="C223" s="17"/>
      <c r="D223" s="18"/>
      <c r="E223" s="29"/>
      <c r="F223" s="39"/>
      <c r="G223" s="40"/>
      <c r="H223" s="41"/>
      <c r="I223" s="42"/>
      <c r="J223" s="82">
        <f t="shared" si="40"/>
        <v>0</v>
      </c>
      <c r="K223" s="43"/>
      <c r="L223" s="83" t="str">
        <f t="shared" si="41"/>
        <v/>
      </c>
      <c r="M223" s="53"/>
      <c r="Q223" s="12"/>
      <c r="S223"/>
    </row>
    <row r="224" spans="1:33" x14ac:dyDescent="0.25">
      <c r="A224" s="12" t="str">
        <f t="shared" si="39"/>
        <v/>
      </c>
      <c r="B224" s="16"/>
      <c r="C224" s="17"/>
      <c r="D224" s="18"/>
      <c r="E224" s="29"/>
      <c r="F224" s="27"/>
      <c r="G224" s="28"/>
      <c r="H224" s="19"/>
      <c r="I224" s="23"/>
      <c r="J224" s="82">
        <f t="shared" si="40"/>
        <v>0</v>
      </c>
      <c r="K224" s="30"/>
      <c r="L224" s="83" t="str">
        <f t="shared" si="41"/>
        <v/>
      </c>
      <c r="M224" s="23"/>
      <c r="Q224" s="12"/>
      <c r="S224"/>
    </row>
    <row r="225" spans="1:19" x14ac:dyDescent="0.25">
      <c r="A225" s="12" t="str">
        <f t="shared" si="39"/>
        <v/>
      </c>
      <c r="B225" s="16"/>
      <c r="C225" s="17"/>
      <c r="D225" s="18"/>
      <c r="E225" s="29"/>
      <c r="F225" s="39"/>
      <c r="G225" s="40"/>
      <c r="H225" s="41"/>
      <c r="I225" s="42"/>
      <c r="J225" s="82">
        <f t="shared" si="40"/>
        <v>0</v>
      </c>
      <c r="K225" s="43"/>
      <c r="L225" s="83" t="str">
        <f t="shared" si="41"/>
        <v/>
      </c>
      <c r="M225" s="53"/>
      <c r="Q225" s="12"/>
      <c r="S225"/>
    </row>
    <row r="226" spans="1:19" x14ac:dyDescent="0.25">
      <c r="A226" s="12" t="str">
        <f t="shared" si="39"/>
        <v/>
      </c>
      <c r="B226" s="16"/>
      <c r="C226" s="17"/>
      <c r="D226" s="18"/>
      <c r="E226" s="29"/>
      <c r="F226" s="27"/>
      <c r="G226" s="28"/>
      <c r="H226" s="19"/>
      <c r="I226" s="23"/>
      <c r="J226" s="82">
        <f t="shared" si="40"/>
        <v>0</v>
      </c>
      <c r="K226" s="30"/>
      <c r="L226" s="83" t="str">
        <f t="shared" si="41"/>
        <v/>
      </c>
      <c r="M226" s="23"/>
      <c r="Q226" s="12"/>
      <c r="S226"/>
    </row>
    <row r="227" spans="1:19" x14ac:dyDescent="0.25">
      <c r="A227" s="12" t="str">
        <f t="shared" si="39"/>
        <v/>
      </c>
      <c r="B227" s="16"/>
      <c r="C227" s="17"/>
      <c r="D227" s="18"/>
      <c r="E227" s="29"/>
      <c r="F227" s="39"/>
      <c r="G227" s="40"/>
      <c r="H227" s="41"/>
      <c r="I227" s="42"/>
      <c r="J227" s="82">
        <f t="shared" si="40"/>
        <v>0</v>
      </c>
      <c r="K227" s="43"/>
      <c r="L227" s="83" t="str">
        <f t="shared" si="41"/>
        <v/>
      </c>
      <c r="M227" s="53"/>
      <c r="Q227" s="12"/>
      <c r="S227"/>
    </row>
    <row r="228" spans="1:19" x14ac:dyDescent="0.25">
      <c r="A228" s="12" t="str">
        <f t="shared" si="39"/>
        <v/>
      </c>
      <c r="B228" s="16"/>
      <c r="C228" s="17"/>
      <c r="D228" s="18"/>
      <c r="E228" s="29"/>
      <c r="F228" s="27"/>
      <c r="G228" s="28"/>
      <c r="H228" s="19"/>
      <c r="I228" s="23"/>
      <c r="J228" s="82">
        <f t="shared" si="40"/>
        <v>0</v>
      </c>
      <c r="K228" s="30"/>
      <c r="L228" s="83" t="str">
        <f t="shared" si="41"/>
        <v/>
      </c>
      <c r="M228" s="23"/>
      <c r="Q228" s="12"/>
      <c r="S228"/>
    </row>
    <row r="229" spans="1:19" x14ac:dyDescent="0.25">
      <c r="A229" s="12" t="str">
        <f t="shared" si="39"/>
        <v/>
      </c>
      <c r="B229" s="16"/>
      <c r="C229" s="17"/>
      <c r="D229" s="18"/>
      <c r="E229" s="29"/>
      <c r="F229" s="39"/>
      <c r="G229" s="40"/>
      <c r="H229" s="41"/>
      <c r="I229" s="42"/>
      <c r="J229" s="82">
        <f t="shared" si="40"/>
        <v>0</v>
      </c>
      <c r="K229" s="43"/>
      <c r="L229" s="83" t="str">
        <f t="shared" si="41"/>
        <v/>
      </c>
      <c r="M229" s="53"/>
      <c r="Q229" s="12"/>
      <c r="S229"/>
    </row>
    <row r="230" spans="1:19" x14ac:dyDescent="0.25">
      <c r="A230" s="12" t="str">
        <f t="shared" si="39"/>
        <v/>
      </c>
      <c r="B230" s="16"/>
      <c r="C230" s="17"/>
      <c r="D230" s="18"/>
      <c r="E230" s="29"/>
      <c r="F230" s="27"/>
      <c r="G230" s="28"/>
      <c r="H230" s="19"/>
      <c r="I230" s="23"/>
      <c r="J230" s="82">
        <f t="shared" si="40"/>
        <v>0</v>
      </c>
      <c r="K230" s="30"/>
      <c r="L230" s="83" t="str">
        <f t="shared" si="41"/>
        <v/>
      </c>
      <c r="M230" s="23"/>
      <c r="Q230" s="12"/>
      <c r="S230"/>
    </row>
    <row r="231" spans="1:19" x14ac:dyDescent="0.25">
      <c r="A231" s="12" t="str">
        <f t="shared" si="39"/>
        <v/>
      </c>
      <c r="B231" s="16"/>
      <c r="C231" s="17"/>
      <c r="D231" s="18"/>
      <c r="E231" s="29"/>
      <c r="F231" s="39"/>
      <c r="G231" s="40"/>
      <c r="H231" s="41"/>
      <c r="I231" s="42"/>
      <c r="J231" s="82">
        <f t="shared" si="40"/>
        <v>0</v>
      </c>
      <c r="K231" s="43"/>
      <c r="L231" s="83" t="str">
        <f t="shared" si="41"/>
        <v/>
      </c>
      <c r="M231" s="53"/>
      <c r="Q231" s="12"/>
      <c r="S231"/>
    </row>
    <row r="232" spans="1:19" x14ac:dyDescent="0.25">
      <c r="A232" s="12" t="str">
        <f t="shared" si="39"/>
        <v/>
      </c>
      <c r="B232" s="16"/>
      <c r="C232" s="17"/>
      <c r="D232" s="18"/>
      <c r="E232" s="29"/>
      <c r="F232" s="27"/>
      <c r="G232" s="28"/>
      <c r="H232" s="19"/>
      <c r="I232" s="23"/>
      <c r="J232" s="82">
        <f t="shared" si="40"/>
        <v>0</v>
      </c>
      <c r="K232" s="30"/>
      <c r="L232" s="83" t="str">
        <f t="shared" si="41"/>
        <v/>
      </c>
      <c r="M232" s="23"/>
      <c r="Q232" s="12"/>
      <c r="S232"/>
    </row>
    <row r="233" spans="1:19" x14ac:dyDescent="0.25">
      <c r="A233" s="12" t="str">
        <f t="shared" si="39"/>
        <v/>
      </c>
      <c r="B233" s="16"/>
      <c r="C233" s="17"/>
      <c r="D233" s="18"/>
      <c r="E233" s="29"/>
      <c r="F233" s="39"/>
      <c r="G233" s="40"/>
      <c r="H233" s="41"/>
      <c r="I233" s="42"/>
      <c r="J233" s="82">
        <f t="shared" si="40"/>
        <v>0</v>
      </c>
      <c r="K233" s="43"/>
      <c r="L233" s="83" t="str">
        <f t="shared" si="41"/>
        <v/>
      </c>
      <c r="M233" s="53"/>
      <c r="Q233" s="12"/>
      <c r="S233"/>
    </row>
    <row r="234" spans="1:19" x14ac:dyDescent="0.25">
      <c r="A234" s="12" t="str">
        <f t="shared" si="39"/>
        <v/>
      </c>
      <c r="B234" s="16"/>
      <c r="C234" s="17"/>
      <c r="D234" s="18"/>
      <c r="E234" s="29"/>
      <c r="F234" s="27"/>
      <c r="G234" s="28"/>
      <c r="H234" s="19"/>
      <c r="I234" s="23"/>
      <c r="J234" s="82">
        <f t="shared" si="40"/>
        <v>0</v>
      </c>
      <c r="K234" s="30"/>
      <c r="L234" s="83" t="str">
        <f t="shared" si="41"/>
        <v/>
      </c>
      <c r="M234" s="23"/>
      <c r="Q234" s="12"/>
      <c r="S234"/>
    </row>
    <row r="235" spans="1:19" x14ac:dyDescent="0.25">
      <c r="A235" s="12" t="str">
        <f t="shared" si="39"/>
        <v/>
      </c>
      <c r="B235" s="16"/>
      <c r="C235" s="17"/>
      <c r="D235" s="18"/>
      <c r="E235" s="29"/>
      <c r="F235" s="39"/>
      <c r="G235" s="40"/>
      <c r="H235" s="41"/>
      <c r="I235" s="42"/>
      <c r="J235" s="82">
        <f t="shared" si="40"/>
        <v>0</v>
      </c>
      <c r="K235" s="43"/>
      <c r="L235" s="83" t="str">
        <f t="shared" si="41"/>
        <v/>
      </c>
      <c r="M235" s="53"/>
      <c r="Q235" s="12"/>
      <c r="S235"/>
    </row>
    <row r="236" spans="1:19" x14ac:dyDescent="0.25">
      <c r="A236" s="12" t="str">
        <f t="shared" si="39"/>
        <v/>
      </c>
      <c r="B236" s="16"/>
      <c r="C236" s="17"/>
      <c r="D236" s="18"/>
      <c r="E236" s="29"/>
      <c r="F236" s="27"/>
      <c r="G236" s="28"/>
      <c r="H236" s="19"/>
      <c r="I236" s="23"/>
      <c r="J236" s="82">
        <f t="shared" si="40"/>
        <v>0</v>
      </c>
      <c r="K236" s="30"/>
      <c r="L236" s="83" t="str">
        <f t="shared" si="41"/>
        <v/>
      </c>
      <c r="M236" s="23"/>
      <c r="Q236" s="12"/>
      <c r="S236"/>
    </row>
    <row r="237" spans="1:19" x14ac:dyDescent="0.25">
      <c r="A237" s="12" t="str">
        <f t="shared" si="39"/>
        <v/>
      </c>
      <c r="B237" s="16"/>
      <c r="C237" s="17"/>
      <c r="D237" s="18"/>
      <c r="E237" s="29"/>
      <c r="F237" s="39"/>
      <c r="G237" s="40"/>
      <c r="H237" s="41"/>
      <c r="I237" s="42"/>
      <c r="J237" s="82">
        <f t="shared" si="40"/>
        <v>0</v>
      </c>
      <c r="K237" s="43"/>
      <c r="L237" s="83" t="str">
        <f t="shared" si="41"/>
        <v/>
      </c>
      <c r="M237" s="53"/>
      <c r="Q237" s="12"/>
      <c r="S237"/>
    </row>
    <row r="238" spans="1:19" x14ac:dyDescent="0.25">
      <c r="A238" s="12" t="str">
        <f t="shared" si="39"/>
        <v/>
      </c>
      <c r="B238" s="16"/>
      <c r="C238" s="17"/>
      <c r="D238" s="18"/>
      <c r="E238" s="29"/>
      <c r="F238" s="27"/>
      <c r="G238" s="28"/>
      <c r="H238" s="19"/>
      <c r="I238" s="23"/>
      <c r="J238" s="82">
        <f t="shared" si="40"/>
        <v>0</v>
      </c>
      <c r="K238" s="30"/>
      <c r="L238" s="83" t="str">
        <f t="shared" si="41"/>
        <v/>
      </c>
      <c r="M238" s="23"/>
      <c r="Q238" s="12"/>
      <c r="S238"/>
    </row>
    <row r="239" spans="1:19" x14ac:dyDescent="0.25">
      <c r="A239" s="12" t="str">
        <f t="shared" si="39"/>
        <v/>
      </c>
      <c r="B239" s="16"/>
      <c r="C239" s="17"/>
      <c r="D239" s="18"/>
      <c r="E239" s="29"/>
      <c r="F239" s="39"/>
      <c r="G239" s="40"/>
      <c r="H239" s="41"/>
      <c r="I239" s="42"/>
      <c r="J239" s="82">
        <f t="shared" si="40"/>
        <v>0</v>
      </c>
      <c r="K239" s="43"/>
      <c r="L239" s="83" t="str">
        <f t="shared" si="41"/>
        <v/>
      </c>
      <c r="M239" s="53"/>
      <c r="Q239" s="12"/>
      <c r="S239"/>
    </row>
    <row r="240" spans="1:19" x14ac:dyDescent="0.25">
      <c r="A240" s="12" t="str">
        <f t="shared" si="39"/>
        <v/>
      </c>
      <c r="B240" s="16"/>
      <c r="C240" s="17"/>
      <c r="D240" s="18"/>
      <c r="E240" s="29"/>
      <c r="F240" s="27"/>
      <c r="G240" s="28"/>
      <c r="H240" s="19"/>
      <c r="I240" s="23"/>
      <c r="J240" s="82">
        <f t="shared" si="40"/>
        <v>0</v>
      </c>
      <c r="K240" s="30"/>
      <c r="L240" s="83" t="str">
        <f t="shared" si="41"/>
        <v/>
      </c>
      <c r="M240" s="23"/>
      <c r="Q240" s="12"/>
      <c r="S240"/>
    </row>
    <row r="241" spans="1:19" x14ac:dyDescent="0.25">
      <c r="A241" s="12" t="str">
        <f t="shared" si="39"/>
        <v/>
      </c>
      <c r="B241" s="16"/>
      <c r="C241" s="17"/>
      <c r="D241" s="18"/>
      <c r="E241" s="29"/>
      <c r="F241" s="39"/>
      <c r="G241" s="40"/>
      <c r="H241" s="41"/>
      <c r="I241" s="42"/>
      <c r="J241" s="82">
        <f t="shared" si="40"/>
        <v>0</v>
      </c>
      <c r="K241" s="43"/>
      <c r="L241" s="83" t="str">
        <f t="shared" si="41"/>
        <v/>
      </c>
      <c r="M241" s="53"/>
      <c r="Q241" s="12"/>
      <c r="S241"/>
    </row>
    <row r="242" spans="1:19" x14ac:dyDescent="0.25">
      <c r="A242" s="12" t="str">
        <f t="shared" si="39"/>
        <v/>
      </c>
      <c r="B242" s="16"/>
      <c r="C242" s="17"/>
      <c r="D242" s="18"/>
      <c r="E242" s="29"/>
      <c r="F242" s="27"/>
      <c r="G242" s="28"/>
      <c r="H242" s="19"/>
      <c r="I242" s="23"/>
      <c r="J242" s="82">
        <f t="shared" si="40"/>
        <v>0</v>
      </c>
      <c r="K242" s="30"/>
      <c r="L242" s="83" t="str">
        <f t="shared" si="41"/>
        <v/>
      </c>
      <c r="M242" s="23"/>
      <c r="Q242" s="12"/>
      <c r="S242"/>
    </row>
    <row r="243" spans="1:19" x14ac:dyDescent="0.25">
      <c r="A243" s="12" t="str">
        <f t="shared" si="39"/>
        <v/>
      </c>
      <c r="B243" s="16"/>
      <c r="C243" s="17"/>
      <c r="D243" s="18"/>
      <c r="E243" s="29"/>
      <c r="F243" s="39"/>
      <c r="G243" s="40"/>
      <c r="H243" s="41"/>
      <c r="I243" s="42"/>
      <c r="J243" s="82">
        <f t="shared" si="40"/>
        <v>0</v>
      </c>
      <c r="K243" s="43"/>
      <c r="L243" s="83" t="str">
        <f t="shared" si="41"/>
        <v/>
      </c>
      <c r="M243" s="53"/>
      <c r="Q243" s="12"/>
      <c r="S243"/>
    </row>
    <row r="244" spans="1:19" x14ac:dyDescent="0.25">
      <c r="A244" s="12" t="str">
        <f t="shared" ref="A244:A307" si="44">IFERROR(DATE(B244,C244,D244),"")</f>
        <v/>
      </c>
      <c r="B244" s="16"/>
      <c r="C244" s="17"/>
      <c r="D244" s="18"/>
      <c r="E244" s="29"/>
      <c r="F244" s="27"/>
      <c r="G244" s="28"/>
      <c r="H244" s="19"/>
      <c r="I244" s="23"/>
      <c r="J244" s="82">
        <f t="shared" ref="J244:J307" si="45">IF(E244="entrada",H244*I244,H244*I244*-1)</f>
        <v>0</v>
      </c>
      <c r="K244" s="30"/>
      <c r="L244" s="83" t="str">
        <f t="shared" ref="L244:L307" si="46">IF(J244=0,"",SUM(L243,J244))</f>
        <v/>
      </c>
      <c r="M244" s="23"/>
      <c r="Q244" s="12"/>
      <c r="S244"/>
    </row>
    <row r="245" spans="1:19" x14ac:dyDescent="0.25">
      <c r="A245" s="12" t="str">
        <f t="shared" si="44"/>
        <v/>
      </c>
      <c r="B245" s="16"/>
      <c r="C245" s="17"/>
      <c r="D245" s="18"/>
      <c r="E245" s="29"/>
      <c r="F245" s="39"/>
      <c r="G245" s="40"/>
      <c r="H245" s="41"/>
      <c r="I245" s="42"/>
      <c r="J245" s="82">
        <f t="shared" si="45"/>
        <v>0</v>
      </c>
      <c r="K245" s="43"/>
      <c r="L245" s="83" t="str">
        <f t="shared" si="46"/>
        <v/>
      </c>
      <c r="M245" s="53"/>
      <c r="Q245" s="12"/>
      <c r="S245"/>
    </row>
    <row r="246" spans="1:19" x14ac:dyDescent="0.25">
      <c r="A246" s="12" t="str">
        <f t="shared" si="44"/>
        <v/>
      </c>
      <c r="B246" s="16"/>
      <c r="C246" s="17"/>
      <c r="D246" s="18"/>
      <c r="E246" s="29"/>
      <c r="F246" s="27"/>
      <c r="G246" s="28"/>
      <c r="H246" s="19"/>
      <c r="I246" s="23"/>
      <c r="J246" s="82">
        <f t="shared" si="45"/>
        <v>0</v>
      </c>
      <c r="K246" s="30"/>
      <c r="L246" s="83" t="str">
        <f t="shared" si="46"/>
        <v/>
      </c>
      <c r="M246" s="23"/>
      <c r="Q246" s="12"/>
      <c r="S246"/>
    </row>
    <row r="247" spans="1:19" x14ac:dyDescent="0.25">
      <c r="A247" s="12" t="str">
        <f t="shared" si="44"/>
        <v/>
      </c>
      <c r="B247" s="16"/>
      <c r="C247" s="17"/>
      <c r="D247" s="18"/>
      <c r="E247" s="29"/>
      <c r="F247" s="39"/>
      <c r="G247" s="40"/>
      <c r="H247" s="41"/>
      <c r="I247" s="42"/>
      <c r="J247" s="82">
        <f t="shared" si="45"/>
        <v>0</v>
      </c>
      <c r="K247" s="43"/>
      <c r="L247" s="83" t="str">
        <f t="shared" si="46"/>
        <v/>
      </c>
      <c r="M247" s="53"/>
      <c r="Q247" s="12"/>
      <c r="S247"/>
    </row>
    <row r="248" spans="1:19" x14ac:dyDescent="0.25">
      <c r="A248" s="12" t="str">
        <f t="shared" si="44"/>
        <v/>
      </c>
      <c r="B248" s="16"/>
      <c r="C248" s="17"/>
      <c r="D248" s="18"/>
      <c r="E248" s="29"/>
      <c r="F248" s="27"/>
      <c r="G248" s="28"/>
      <c r="H248" s="19"/>
      <c r="I248" s="23"/>
      <c r="J248" s="82">
        <f t="shared" si="45"/>
        <v>0</v>
      </c>
      <c r="K248" s="30"/>
      <c r="L248" s="83" t="str">
        <f t="shared" si="46"/>
        <v/>
      </c>
      <c r="M248" s="23"/>
      <c r="Q248" s="12"/>
      <c r="S248"/>
    </row>
    <row r="249" spans="1:19" x14ac:dyDescent="0.25">
      <c r="A249" s="12" t="str">
        <f t="shared" si="44"/>
        <v/>
      </c>
      <c r="B249" s="16"/>
      <c r="C249" s="17"/>
      <c r="D249" s="18"/>
      <c r="E249" s="29"/>
      <c r="F249" s="39"/>
      <c r="G249" s="40"/>
      <c r="H249" s="41"/>
      <c r="I249" s="42"/>
      <c r="J249" s="82">
        <f t="shared" si="45"/>
        <v>0</v>
      </c>
      <c r="K249" s="43"/>
      <c r="L249" s="83" t="str">
        <f t="shared" si="46"/>
        <v/>
      </c>
      <c r="M249" s="53"/>
      <c r="Q249" s="12"/>
      <c r="S249"/>
    </row>
    <row r="250" spans="1:19" x14ac:dyDescent="0.25">
      <c r="A250" s="12" t="str">
        <f t="shared" si="44"/>
        <v/>
      </c>
      <c r="B250" s="16"/>
      <c r="C250" s="17"/>
      <c r="D250" s="18"/>
      <c r="E250" s="29"/>
      <c r="F250" s="27"/>
      <c r="G250" s="28"/>
      <c r="H250" s="19"/>
      <c r="I250" s="23"/>
      <c r="J250" s="82">
        <f t="shared" si="45"/>
        <v>0</v>
      </c>
      <c r="K250" s="30"/>
      <c r="L250" s="83" t="str">
        <f t="shared" si="46"/>
        <v/>
      </c>
      <c r="M250" s="23"/>
      <c r="Q250" s="12"/>
      <c r="S250"/>
    </row>
    <row r="251" spans="1:19" x14ac:dyDescent="0.25">
      <c r="A251" s="12" t="str">
        <f t="shared" si="44"/>
        <v/>
      </c>
      <c r="B251" s="16"/>
      <c r="C251" s="17"/>
      <c r="D251" s="18"/>
      <c r="E251" s="29"/>
      <c r="F251" s="39"/>
      <c r="G251" s="40"/>
      <c r="H251" s="41"/>
      <c r="I251" s="42"/>
      <c r="J251" s="82">
        <f t="shared" si="45"/>
        <v>0</v>
      </c>
      <c r="K251" s="43"/>
      <c r="L251" s="83" t="str">
        <f t="shared" si="46"/>
        <v/>
      </c>
      <c r="M251" s="53"/>
      <c r="Q251" s="12"/>
      <c r="S251"/>
    </row>
    <row r="252" spans="1:19" x14ac:dyDescent="0.25">
      <c r="A252" s="12" t="str">
        <f t="shared" si="44"/>
        <v/>
      </c>
      <c r="B252" s="16"/>
      <c r="C252" s="17"/>
      <c r="D252" s="18"/>
      <c r="E252" s="29"/>
      <c r="F252" s="27"/>
      <c r="G252" s="28"/>
      <c r="H252" s="19"/>
      <c r="I252" s="23"/>
      <c r="J252" s="82">
        <f t="shared" si="45"/>
        <v>0</v>
      </c>
      <c r="K252" s="30"/>
      <c r="L252" s="83" t="str">
        <f t="shared" si="46"/>
        <v/>
      </c>
      <c r="M252" s="23"/>
      <c r="Q252" s="12"/>
      <c r="S252"/>
    </row>
    <row r="253" spans="1:19" x14ac:dyDescent="0.25">
      <c r="A253" s="12" t="str">
        <f t="shared" si="44"/>
        <v/>
      </c>
      <c r="B253" s="16"/>
      <c r="C253" s="17"/>
      <c r="D253" s="18"/>
      <c r="E253" s="29"/>
      <c r="F253" s="39"/>
      <c r="G253" s="40"/>
      <c r="H253" s="41"/>
      <c r="I253" s="42"/>
      <c r="J253" s="82">
        <f t="shared" si="45"/>
        <v>0</v>
      </c>
      <c r="K253" s="43"/>
      <c r="L253" s="83" t="str">
        <f t="shared" si="46"/>
        <v/>
      </c>
      <c r="M253" s="53"/>
      <c r="Q253" s="12"/>
      <c r="S253"/>
    </row>
    <row r="254" spans="1:19" x14ac:dyDescent="0.25">
      <c r="A254" s="12" t="str">
        <f t="shared" si="44"/>
        <v/>
      </c>
      <c r="B254" s="16"/>
      <c r="C254" s="17"/>
      <c r="D254" s="18"/>
      <c r="E254" s="29"/>
      <c r="F254" s="27"/>
      <c r="G254" s="28"/>
      <c r="H254" s="19"/>
      <c r="I254" s="23"/>
      <c r="J254" s="82">
        <f t="shared" si="45"/>
        <v>0</v>
      </c>
      <c r="K254" s="30"/>
      <c r="L254" s="83" t="str">
        <f t="shared" si="46"/>
        <v/>
      </c>
      <c r="M254" s="23"/>
      <c r="Q254" s="12"/>
      <c r="S254"/>
    </row>
    <row r="255" spans="1:19" x14ac:dyDescent="0.25">
      <c r="A255" s="12" t="str">
        <f t="shared" si="44"/>
        <v/>
      </c>
      <c r="B255" s="16"/>
      <c r="C255" s="17"/>
      <c r="D255" s="18"/>
      <c r="E255" s="29"/>
      <c r="F255" s="39"/>
      <c r="G255" s="40"/>
      <c r="H255" s="41"/>
      <c r="I255" s="42"/>
      <c r="J255" s="82">
        <f t="shared" si="45"/>
        <v>0</v>
      </c>
      <c r="K255" s="43"/>
      <c r="L255" s="83" t="str">
        <f t="shared" si="46"/>
        <v/>
      </c>
      <c r="M255" s="53"/>
      <c r="Q255" s="12"/>
      <c r="S255"/>
    </row>
    <row r="256" spans="1:19" x14ac:dyDescent="0.25">
      <c r="A256" s="12" t="str">
        <f t="shared" si="44"/>
        <v/>
      </c>
      <c r="B256" s="16"/>
      <c r="C256" s="17"/>
      <c r="D256" s="18"/>
      <c r="E256" s="29"/>
      <c r="F256" s="27"/>
      <c r="G256" s="28"/>
      <c r="H256" s="19"/>
      <c r="I256" s="23"/>
      <c r="J256" s="82">
        <f t="shared" si="45"/>
        <v>0</v>
      </c>
      <c r="K256" s="30"/>
      <c r="L256" s="83" t="str">
        <f t="shared" si="46"/>
        <v/>
      </c>
      <c r="M256" s="23"/>
      <c r="Q256" s="12"/>
      <c r="S256"/>
    </row>
    <row r="257" spans="1:19" x14ac:dyDescent="0.25">
      <c r="A257" s="12" t="str">
        <f t="shared" si="44"/>
        <v/>
      </c>
      <c r="B257" s="16"/>
      <c r="C257" s="17"/>
      <c r="D257" s="18"/>
      <c r="E257" s="29"/>
      <c r="F257" s="39"/>
      <c r="G257" s="40"/>
      <c r="H257" s="41"/>
      <c r="I257" s="42"/>
      <c r="J257" s="82">
        <f t="shared" si="45"/>
        <v>0</v>
      </c>
      <c r="K257" s="43"/>
      <c r="L257" s="83" t="str">
        <f t="shared" si="46"/>
        <v/>
      </c>
      <c r="M257" s="53"/>
      <c r="Q257" s="12"/>
      <c r="S257"/>
    </row>
    <row r="258" spans="1:19" x14ac:dyDescent="0.25">
      <c r="A258" s="12" t="str">
        <f t="shared" si="44"/>
        <v/>
      </c>
      <c r="B258" s="16"/>
      <c r="C258" s="17"/>
      <c r="D258" s="18"/>
      <c r="E258" s="29"/>
      <c r="F258" s="27"/>
      <c r="G258" s="28"/>
      <c r="H258" s="19"/>
      <c r="I258" s="23"/>
      <c r="J258" s="82">
        <f t="shared" si="45"/>
        <v>0</v>
      </c>
      <c r="K258" s="30"/>
      <c r="L258" s="83" t="str">
        <f t="shared" si="46"/>
        <v/>
      </c>
      <c r="M258" s="23"/>
      <c r="Q258" s="12"/>
      <c r="S258"/>
    </row>
    <row r="259" spans="1:19" x14ac:dyDescent="0.25">
      <c r="A259" s="12" t="str">
        <f t="shared" si="44"/>
        <v/>
      </c>
      <c r="B259" s="16"/>
      <c r="C259" s="17"/>
      <c r="D259" s="18"/>
      <c r="E259" s="29"/>
      <c r="F259" s="39"/>
      <c r="G259" s="40"/>
      <c r="H259" s="41"/>
      <c r="I259" s="42"/>
      <c r="J259" s="82">
        <f t="shared" si="45"/>
        <v>0</v>
      </c>
      <c r="K259" s="43"/>
      <c r="L259" s="83" t="str">
        <f t="shared" si="46"/>
        <v/>
      </c>
      <c r="M259" s="53"/>
      <c r="Q259" s="12"/>
      <c r="S259"/>
    </row>
    <row r="260" spans="1:19" x14ac:dyDescent="0.25">
      <c r="A260" s="12" t="str">
        <f t="shared" si="44"/>
        <v/>
      </c>
      <c r="B260" s="16"/>
      <c r="C260" s="17"/>
      <c r="D260" s="18"/>
      <c r="E260" s="29"/>
      <c r="F260" s="27"/>
      <c r="G260" s="28"/>
      <c r="H260" s="19"/>
      <c r="I260" s="23"/>
      <c r="J260" s="82">
        <f t="shared" si="45"/>
        <v>0</v>
      </c>
      <c r="K260" s="30"/>
      <c r="L260" s="83" t="str">
        <f t="shared" si="46"/>
        <v/>
      </c>
      <c r="M260" s="23"/>
      <c r="Q260" s="12"/>
      <c r="S260"/>
    </row>
    <row r="261" spans="1:19" x14ac:dyDescent="0.25">
      <c r="A261" s="12" t="str">
        <f t="shared" si="44"/>
        <v/>
      </c>
      <c r="B261" s="16"/>
      <c r="C261" s="17"/>
      <c r="D261" s="18"/>
      <c r="E261" s="29"/>
      <c r="F261" s="39"/>
      <c r="G261" s="40"/>
      <c r="H261" s="41"/>
      <c r="I261" s="42"/>
      <c r="J261" s="82">
        <f t="shared" si="45"/>
        <v>0</v>
      </c>
      <c r="K261" s="43"/>
      <c r="L261" s="83" t="str">
        <f t="shared" si="46"/>
        <v/>
      </c>
      <c r="M261" s="53"/>
      <c r="Q261" s="12"/>
      <c r="S261"/>
    </row>
    <row r="262" spans="1:19" x14ac:dyDescent="0.25">
      <c r="A262" s="12" t="str">
        <f t="shared" si="44"/>
        <v/>
      </c>
      <c r="B262" s="16"/>
      <c r="C262" s="17"/>
      <c r="D262" s="18"/>
      <c r="E262" s="29"/>
      <c r="F262" s="27"/>
      <c r="G262" s="28"/>
      <c r="H262" s="19"/>
      <c r="I262" s="23"/>
      <c r="J262" s="82">
        <f t="shared" si="45"/>
        <v>0</v>
      </c>
      <c r="K262" s="30"/>
      <c r="L262" s="83" t="str">
        <f t="shared" si="46"/>
        <v/>
      </c>
      <c r="M262" s="23"/>
      <c r="Q262" s="12"/>
      <c r="S262"/>
    </row>
    <row r="263" spans="1:19" x14ac:dyDescent="0.25">
      <c r="A263" s="12" t="str">
        <f t="shared" si="44"/>
        <v/>
      </c>
      <c r="B263" s="16"/>
      <c r="C263" s="17"/>
      <c r="D263" s="18"/>
      <c r="E263" s="29"/>
      <c r="F263" s="39"/>
      <c r="G263" s="40"/>
      <c r="H263" s="41"/>
      <c r="I263" s="42"/>
      <c r="J263" s="82">
        <f t="shared" si="45"/>
        <v>0</v>
      </c>
      <c r="K263" s="43"/>
      <c r="L263" s="83" t="str">
        <f t="shared" si="46"/>
        <v/>
      </c>
      <c r="M263" s="53"/>
      <c r="Q263" s="12"/>
      <c r="S263"/>
    </row>
    <row r="264" spans="1:19" x14ac:dyDescent="0.25">
      <c r="A264" s="12" t="str">
        <f t="shared" si="44"/>
        <v/>
      </c>
      <c r="B264" s="16"/>
      <c r="C264" s="17"/>
      <c r="D264" s="18"/>
      <c r="E264" s="29"/>
      <c r="F264" s="27"/>
      <c r="G264" s="28"/>
      <c r="H264" s="19"/>
      <c r="I264" s="23"/>
      <c r="J264" s="82">
        <f t="shared" si="45"/>
        <v>0</v>
      </c>
      <c r="K264" s="30"/>
      <c r="L264" s="83" t="str">
        <f t="shared" si="46"/>
        <v/>
      </c>
      <c r="M264" s="23"/>
      <c r="Q264" s="12"/>
      <c r="S264"/>
    </row>
    <row r="265" spans="1:19" x14ac:dyDescent="0.25">
      <c r="A265" s="12" t="str">
        <f t="shared" si="44"/>
        <v/>
      </c>
      <c r="B265" s="16"/>
      <c r="C265" s="17"/>
      <c r="D265" s="18"/>
      <c r="E265" s="29"/>
      <c r="F265" s="39"/>
      <c r="G265" s="40"/>
      <c r="H265" s="41"/>
      <c r="I265" s="42"/>
      <c r="J265" s="82">
        <f t="shared" si="45"/>
        <v>0</v>
      </c>
      <c r="K265" s="43"/>
      <c r="L265" s="83" t="str">
        <f t="shared" si="46"/>
        <v/>
      </c>
      <c r="M265" s="53"/>
      <c r="Q265" s="12"/>
      <c r="S265"/>
    </row>
    <row r="266" spans="1:19" x14ac:dyDescent="0.25">
      <c r="A266" s="12" t="str">
        <f t="shared" si="44"/>
        <v/>
      </c>
      <c r="B266" s="16"/>
      <c r="C266" s="17"/>
      <c r="D266" s="18"/>
      <c r="E266" s="29"/>
      <c r="F266" s="27"/>
      <c r="G266" s="28"/>
      <c r="H266" s="19"/>
      <c r="I266" s="23"/>
      <c r="J266" s="82">
        <f t="shared" si="45"/>
        <v>0</v>
      </c>
      <c r="K266" s="30"/>
      <c r="L266" s="83" t="str">
        <f t="shared" si="46"/>
        <v/>
      </c>
      <c r="M266" s="23"/>
      <c r="Q266" s="12"/>
      <c r="S266"/>
    </row>
    <row r="267" spans="1:19" x14ac:dyDescent="0.25">
      <c r="A267" s="12" t="str">
        <f t="shared" si="44"/>
        <v/>
      </c>
      <c r="B267" s="16"/>
      <c r="C267" s="17"/>
      <c r="D267" s="18"/>
      <c r="E267" s="29"/>
      <c r="F267" s="39"/>
      <c r="G267" s="40"/>
      <c r="H267" s="41"/>
      <c r="I267" s="42"/>
      <c r="J267" s="82">
        <f t="shared" si="45"/>
        <v>0</v>
      </c>
      <c r="K267" s="43"/>
      <c r="L267" s="83" t="str">
        <f t="shared" si="46"/>
        <v/>
      </c>
      <c r="M267" s="53"/>
      <c r="Q267" s="12"/>
      <c r="S267"/>
    </row>
    <row r="268" spans="1:19" x14ac:dyDescent="0.25">
      <c r="A268" s="12" t="str">
        <f t="shared" si="44"/>
        <v/>
      </c>
      <c r="B268" s="16"/>
      <c r="C268" s="17"/>
      <c r="D268" s="18"/>
      <c r="E268" s="29"/>
      <c r="F268" s="27"/>
      <c r="G268" s="28"/>
      <c r="H268" s="19"/>
      <c r="I268" s="23"/>
      <c r="J268" s="82">
        <f t="shared" si="45"/>
        <v>0</v>
      </c>
      <c r="K268" s="30"/>
      <c r="L268" s="83" t="str">
        <f t="shared" si="46"/>
        <v/>
      </c>
      <c r="M268" s="23"/>
      <c r="Q268" s="12"/>
      <c r="S268"/>
    </row>
    <row r="269" spans="1:19" x14ac:dyDescent="0.25">
      <c r="A269" s="12" t="str">
        <f t="shared" si="44"/>
        <v/>
      </c>
      <c r="B269" s="16"/>
      <c r="C269" s="17"/>
      <c r="D269" s="18"/>
      <c r="E269" s="29"/>
      <c r="F269" s="39"/>
      <c r="G269" s="40"/>
      <c r="H269" s="41"/>
      <c r="I269" s="42"/>
      <c r="J269" s="82">
        <f t="shared" si="45"/>
        <v>0</v>
      </c>
      <c r="K269" s="43"/>
      <c r="L269" s="83" t="str">
        <f t="shared" si="46"/>
        <v/>
      </c>
      <c r="M269" s="53"/>
      <c r="Q269" s="12"/>
      <c r="S269"/>
    </row>
    <row r="270" spans="1:19" x14ac:dyDescent="0.25">
      <c r="A270" s="12" t="str">
        <f t="shared" si="44"/>
        <v/>
      </c>
      <c r="B270" s="16"/>
      <c r="C270" s="17"/>
      <c r="D270" s="18"/>
      <c r="E270" s="29"/>
      <c r="F270" s="27"/>
      <c r="G270" s="28"/>
      <c r="H270" s="19"/>
      <c r="I270" s="23"/>
      <c r="J270" s="82">
        <f t="shared" si="45"/>
        <v>0</v>
      </c>
      <c r="K270" s="30"/>
      <c r="L270" s="83" t="str">
        <f t="shared" si="46"/>
        <v/>
      </c>
      <c r="M270" s="23"/>
      <c r="Q270" s="12"/>
      <c r="S270"/>
    </row>
    <row r="271" spans="1:19" x14ac:dyDescent="0.25">
      <c r="A271" s="12" t="str">
        <f t="shared" si="44"/>
        <v/>
      </c>
      <c r="B271" s="16"/>
      <c r="C271" s="17"/>
      <c r="D271" s="18"/>
      <c r="E271" s="29"/>
      <c r="F271" s="39"/>
      <c r="G271" s="40"/>
      <c r="H271" s="41"/>
      <c r="I271" s="42"/>
      <c r="J271" s="82">
        <f t="shared" si="45"/>
        <v>0</v>
      </c>
      <c r="K271" s="43"/>
      <c r="L271" s="83" t="str">
        <f t="shared" si="46"/>
        <v/>
      </c>
      <c r="M271" s="53"/>
      <c r="Q271" s="12"/>
      <c r="S271"/>
    </row>
    <row r="272" spans="1:19" x14ac:dyDescent="0.25">
      <c r="A272" s="12" t="str">
        <f t="shared" si="44"/>
        <v/>
      </c>
      <c r="B272" s="16"/>
      <c r="C272" s="17"/>
      <c r="D272" s="18"/>
      <c r="E272" s="29"/>
      <c r="F272" s="27"/>
      <c r="G272" s="28"/>
      <c r="H272" s="19"/>
      <c r="I272" s="23"/>
      <c r="J272" s="82">
        <f t="shared" si="45"/>
        <v>0</v>
      </c>
      <c r="K272" s="30"/>
      <c r="L272" s="83" t="str">
        <f t="shared" si="46"/>
        <v/>
      </c>
      <c r="M272" s="23"/>
      <c r="Q272" s="12"/>
      <c r="S272"/>
    </row>
    <row r="273" spans="1:19" x14ac:dyDescent="0.25">
      <c r="A273" s="12" t="str">
        <f t="shared" si="44"/>
        <v/>
      </c>
      <c r="B273" s="16"/>
      <c r="C273" s="17"/>
      <c r="D273" s="18"/>
      <c r="E273" s="29"/>
      <c r="F273" s="39"/>
      <c r="G273" s="40"/>
      <c r="H273" s="41"/>
      <c r="I273" s="42"/>
      <c r="J273" s="82">
        <f t="shared" si="45"/>
        <v>0</v>
      </c>
      <c r="K273" s="43"/>
      <c r="L273" s="83" t="str">
        <f t="shared" si="46"/>
        <v/>
      </c>
      <c r="M273" s="53"/>
      <c r="Q273" s="12"/>
      <c r="S273"/>
    </row>
    <row r="274" spans="1:19" x14ac:dyDescent="0.25">
      <c r="A274" s="12" t="str">
        <f t="shared" si="44"/>
        <v/>
      </c>
      <c r="B274" s="16"/>
      <c r="C274" s="17"/>
      <c r="D274" s="18"/>
      <c r="E274" s="29"/>
      <c r="F274" s="27"/>
      <c r="G274" s="28"/>
      <c r="H274" s="19"/>
      <c r="I274" s="23"/>
      <c r="J274" s="82">
        <f t="shared" si="45"/>
        <v>0</v>
      </c>
      <c r="K274" s="30"/>
      <c r="L274" s="83" t="str">
        <f t="shared" si="46"/>
        <v/>
      </c>
      <c r="M274" s="23"/>
      <c r="Q274" s="12"/>
      <c r="S274"/>
    </row>
    <row r="275" spans="1:19" x14ac:dyDescent="0.25">
      <c r="A275" s="12" t="str">
        <f t="shared" si="44"/>
        <v/>
      </c>
      <c r="B275" s="16"/>
      <c r="C275" s="17"/>
      <c r="D275" s="18"/>
      <c r="E275" s="29"/>
      <c r="F275" s="39"/>
      <c r="G275" s="40"/>
      <c r="H275" s="41"/>
      <c r="I275" s="42"/>
      <c r="J275" s="82">
        <f t="shared" si="45"/>
        <v>0</v>
      </c>
      <c r="K275" s="43"/>
      <c r="L275" s="83" t="str">
        <f t="shared" si="46"/>
        <v/>
      </c>
      <c r="M275" s="53"/>
      <c r="Q275" s="12"/>
      <c r="S275"/>
    </row>
    <row r="276" spans="1:19" x14ac:dyDescent="0.25">
      <c r="A276" s="12" t="str">
        <f t="shared" si="44"/>
        <v/>
      </c>
      <c r="B276" s="16"/>
      <c r="C276" s="17"/>
      <c r="D276" s="18"/>
      <c r="E276" s="29"/>
      <c r="F276" s="27"/>
      <c r="G276" s="28"/>
      <c r="H276" s="19"/>
      <c r="I276" s="23"/>
      <c r="J276" s="82">
        <f t="shared" si="45"/>
        <v>0</v>
      </c>
      <c r="K276" s="30"/>
      <c r="L276" s="83" t="str">
        <f t="shared" si="46"/>
        <v/>
      </c>
      <c r="M276" s="23"/>
      <c r="Q276" s="12"/>
      <c r="S276"/>
    </row>
    <row r="277" spans="1:19" x14ac:dyDescent="0.25">
      <c r="A277" s="12" t="str">
        <f t="shared" si="44"/>
        <v/>
      </c>
      <c r="B277" s="16"/>
      <c r="C277" s="17"/>
      <c r="D277" s="18"/>
      <c r="E277" s="29"/>
      <c r="F277" s="39"/>
      <c r="G277" s="40"/>
      <c r="H277" s="41"/>
      <c r="I277" s="42"/>
      <c r="J277" s="82">
        <f t="shared" si="45"/>
        <v>0</v>
      </c>
      <c r="K277" s="43"/>
      <c r="L277" s="83" t="str">
        <f t="shared" si="46"/>
        <v/>
      </c>
      <c r="M277" s="53"/>
      <c r="Q277" s="12"/>
      <c r="S277"/>
    </row>
    <row r="278" spans="1:19" x14ac:dyDescent="0.25">
      <c r="A278" s="12" t="str">
        <f t="shared" si="44"/>
        <v/>
      </c>
      <c r="B278" s="16"/>
      <c r="C278" s="17"/>
      <c r="D278" s="18"/>
      <c r="E278" s="29"/>
      <c r="F278" s="27"/>
      <c r="G278" s="28"/>
      <c r="H278" s="19"/>
      <c r="I278" s="23"/>
      <c r="J278" s="82">
        <f t="shared" si="45"/>
        <v>0</v>
      </c>
      <c r="K278" s="30"/>
      <c r="L278" s="83" t="str">
        <f t="shared" si="46"/>
        <v/>
      </c>
      <c r="M278" s="23"/>
      <c r="Q278" s="12"/>
      <c r="S278"/>
    </row>
    <row r="279" spans="1:19" x14ac:dyDescent="0.25">
      <c r="A279" s="12" t="str">
        <f t="shared" si="44"/>
        <v/>
      </c>
      <c r="B279" s="16"/>
      <c r="C279" s="17"/>
      <c r="D279" s="18"/>
      <c r="E279" s="29"/>
      <c r="F279" s="39"/>
      <c r="G279" s="40"/>
      <c r="H279" s="41"/>
      <c r="I279" s="42"/>
      <c r="J279" s="82">
        <f t="shared" si="45"/>
        <v>0</v>
      </c>
      <c r="K279" s="43"/>
      <c r="L279" s="83" t="str">
        <f t="shared" si="46"/>
        <v/>
      </c>
      <c r="M279" s="53"/>
      <c r="Q279" s="12"/>
      <c r="S279"/>
    </row>
    <row r="280" spans="1:19" x14ac:dyDescent="0.25">
      <c r="A280" s="12" t="str">
        <f t="shared" si="44"/>
        <v/>
      </c>
      <c r="B280" s="16"/>
      <c r="C280" s="17"/>
      <c r="D280" s="18"/>
      <c r="E280" s="29"/>
      <c r="F280" s="27"/>
      <c r="G280" s="28"/>
      <c r="H280" s="19"/>
      <c r="I280" s="23"/>
      <c r="J280" s="82">
        <f t="shared" si="45"/>
        <v>0</v>
      </c>
      <c r="K280" s="30"/>
      <c r="L280" s="83" t="str">
        <f t="shared" si="46"/>
        <v/>
      </c>
      <c r="M280" s="23"/>
      <c r="Q280" s="12"/>
      <c r="S280"/>
    </row>
    <row r="281" spans="1:19" x14ac:dyDescent="0.25">
      <c r="A281" s="12" t="str">
        <f t="shared" si="44"/>
        <v/>
      </c>
      <c r="B281" s="16"/>
      <c r="C281" s="17"/>
      <c r="D281" s="18"/>
      <c r="E281" s="29"/>
      <c r="F281" s="39"/>
      <c r="G281" s="40"/>
      <c r="H281" s="41"/>
      <c r="I281" s="42"/>
      <c r="J281" s="82">
        <f t="shared" si="45"/>
        <v>0</v>
      </c>
      <c r="K281" s="43"/>
      <c r="L281" s="83" t="str">
        <f t="shared" si="46"/>
        <v/>
      </c>
      <c r="M281" s="53"/>
      <c r="Q281" s="12"/>
      <c r="S281"/>
    </row>
    <row r="282" spans="1:19" x14ac:dyDescent="0.25">
      <c r="A282" s="12" t="str">
        <f t="shared" si="44"/>
        <v/>
      </c>
      <c r="B282" s="16"/>
      <c r="C282" s="17"/>
      <c r="D282" s="18"/>
      <c r="E282" s="29"/>
      <c r="F282" s="27"/>
      <c r="G282" s="28"/>
      <c r="H282" s="19"/>
      <c r="I282" s="23"/>
      <c r="J282" s="82">
        <f t="shared" si="45"/>
        <v>0</v>
      </c>
      <c r="K282" s="30"/>
      <c r="L282" s="83" t="str">
        <f t="shared" si="46"/>
        <v/>
      </c>
      <c r="M282" s="23"/>
      <c r="Q282" s="12"/>
      <c r="S282"/>
    </row>
    <row r="283" spans="1:19" x14ac:dyDescent="0.25">
      <c r="A283" s="12" t="str">
        <f t="shared" si="44"/>
        <v/>
      </c>
      <c r="B283" s="16"/>
      <c r="C283" s="17"/>
      <c r="D283" s="18"/>
      <c r="E283" s="29"/>
      <c r="F283" s="39"/>
      <c r="G283" s="40"/>
      <c r="H283" s="41"/>
      <c r="I283" s="42"/>
      <c r="J283" s="82">
        <f t="shared" si="45"/>
        <v>0</v>
      </c>
      <c r="K283" s="43"/>
      <c r="L283" s="83" t="str">
        <f t="shared" si="46"/>
        <v/>
      </c>
      <c r="M283" s="53"/>
      <c r="Q283" s="12"/>
      <c r="S283"/>
    </row>
    <row r="284" spans="1:19" x14ac:dyDescent="0.25">
      <c r="A284" s="12" t="str">
        <f t="shared" si="44"/>
        <v/>
      </c>
      <c r="B284" s="16"/>
      <c r="C284" s="17"/>
      <c r="D284" s="18"/>
      <c r="E284" s="29"/>
      <c r="F284" s="27"/>
      <c r="G284" s="28"/>
      <c r="H284" s="19"/>
      <c r="I284" s="23"/>
      <c r="J284" s="82">
        <f t="shared" si="45"/>
        <v>0</v>
      </c>
      <c r="K284" s="30"/>
      <c r="L284" s="83" t="str">
        <f t="shared" si="46"/>
        <v/>
      </c>
      <c r="M284" s="23"/>
      <c r="Q284" s="12"/>
      <c r="S284"/>
    </row>
    <row r="285" spans="1:19" x14ac:dyDescent="0.25">
      <c r="A285" s="12" t="str">
        <f t="shared" si="44"/>
        <v/>
      </c>
      <c r="B285" s="16"/>
      <c r="C285" s="17"/>
      <c r="D285" s="18"/>
      <c r="E285" s="29"/>
      <c r="F285" s="39"/>
      <c r="G285" s="40"/>
      <c r="H285" s="41"/>
      <c r="I285" s="42"/>
      <c r="J285" s="82">
        <f t="shared" si="45"/>
        <v>0</v>
      </c>
      <c r="K285" s="43"/>
      <c r="L285" s="83" t="str">
        <f t="shared" si="46"/>
        <v/>
      </c>
      <c r="M285" s="53"/>
      <c r="Q285" s="12"/>
      <c r="S285"/>
    </row>
    <row r="286" spans="1:19" x14ac:dyDescent="0.25">
      <c r="A286" s="12" t="str">
        <f t="shared" si="44"/>
        <v/>
      </c>
      <c r="B286" s="16"/>
      <c r="C286" s="17"/>
      <c r="D286" s="18"/>
      <c r="E286" s="29"/>
      <c r="F286" s="27"/>
      <c r="G286" s="28"/>
      <c r="H286" s="19"/>
      <c r="I286" s="23"/>
      <c r="J286" s="82">
        <f t="shared" si="45"/>
        <v>0</v>
      </c>
      <c r="K286" s="30"/>
      <c r="L286" s="83" t="str">
        <f t="shared" si="46"/>
        <v/>
      </c>
      <c r="M286" s="23"/>
      <c r="Q286" s="12"/>
      <c r="S286"/>
    </row>
    <row r="287" spans="1:19" x14ac:dyDescent="0.25">
      <c r="A287" s="12" t="str">
        <f t="shared" si="44"/>
        <v/>
      </c>
      <c r="B287" s="16"/>
      <c r="C287" s="17"/>
      <c r="D287" s="18"/>
      <c r="E287" s="29"/>
      <c r="F287" s="39"/>
      <c r="G287" s="40"/>
      <c r="H287" s="41"/>
      <c r="I287" s="42"/>
      <c r="J287" s="82">
        <f t="shared" si="45"/>
        <v>0</v>
      </c>
      <c r="K287" s="43"/>
      <c r="L287" s="83" t="str">
        <f t="shared" si="46"/>
        <v/>
      </c>
      <c r="M287" s="53"/>
      <c r="Q287" s="12"/>
      <c r="S287"/>
    </row>
    <row r="288" spans="1:19" x14ac:dyDescent="0.25">
      <c r="A288" s="12" t="str">
        <f t="shared" si="44"/>
        <v/>
      </c>
      <c r="B288" s="16"/>
      <c r="C288" s="17"/>
      <c r="D288" s="18"/>
      <c r="E288" s="29"/>
      <c r="F288" s="27"/>
      <c r="G288" s="28"/>
      <c r="H288" s="19"/>
      <c r="I288" s="23"/>
      <c r="J288" s="82">
        <f t="shared" si="45"/>
        <v>0</v>
      </c>
      <c r="K288" s="30"/>
      <c r="L288" s="83" t="str">
        <f t="shared" si="46"/>
        <v/>
      </c>
      <c r="M288" s="23"/>
      <c r="Q288" s="12"/>
      <c r="S288"/>
    </row>
    <row r="289" spans="1:19" x14ac:dyDescent="0.25">
      <c r="A289" s="12" t="str">
        <f t="shared" si="44"/>
        <v/>
      </c>
      <c r="B289" s="16"/>
      <c r="C289" s="17"/>
      <c r="D289" s="18"/>
      <c r="E289" s="29"/>
      <c r="F289" s="39"/>
      <c r="G289" s="40"/>
      <c r="H289" s="41"/>
      <c r="I289" s="42"/>
      <c r="J289" s="82">
        <f t="shared" si="45"/>
        <v>0</v>
      </c>
      <c r="K289" s="43"/>
      <c r="L289" s="83" t="str">
        <f t="shared" si="46"/>
        <v/>
      </c>
      <c r="M289" s="53"/>
      <c r="Q289" s="12"/>
      <c r="S289"/>
    </row>
    <row r="290" spans="1:19" x14ac:dyDescent="0.25">
      <c r="A290" s="12" t="str">
        <f t="shared" si="44"/>
        <v/>
      </c>
      <c r="B290" s="16"/>
      <c r="C290" s="17"/>
      <c r="D290" s="18"/>
      <c r="E290" s="29"/>
      <c r="F290" s="27"/>
      <c r="G290" s="28"/>
      <c r="H290" s="19"/>
      <c r="I290" s="23"/>
      <c r="J290" s="82">
        <f t="shared" si="45"/>
        <v>0</v>
      </c>
      <c r="K290" s="30"/>
      <c r="L290" s="83" t="str">
        <f t="shared" si="46"/>
        <v/>
      </c>
      <c r="M290" s="23"/>
      <c r="Q290" s="12"/>
      <c r="S290"/>
    </row>
    <row r="291" spans="1:19" x14ac:dyDescent="0.25">
      <c r="A291" s="12" t="str">
        <f t="shared" si="44"/>
        <v/>
      </c>
      <c r="B291" s="16"/>
      <c r="C291" s="17"/>
      <c r="D291" s="18"/>
      <c r="E291" s="29"/>
      <c r="F291" s="39"/>
      <c r="G291" s="40"/>
      <c r="H291" s="41"/>
      <c r="I291" s="42"/>
      <c r="J291" s="82">
        <f t="shared" si="45"/>
        <v>0</v>
      </c>
      <c r="K291" s="43"/>
      <c r="L291" s="83" t="str">
        <f t="shared" si="46"/>
        <v/>
      </c>
      <c r="M291" s="53"/>
      <c r="Q291" s="12"/>
      <c r="S291"/>
    </row>
    <row r="292" spans="1:19" x14ac:dyDescent="0.25">
      <c r="A292" s="12" t="str">
        <f t="shared" si="44"/>
        <v/>
      </c>
      <c r="B292" s="16"/>
      <c r="C292" s="17"/>
      <c r="D292" s="18"/>
      <c r="E292" s="29"/>
      <c r="F292" s="27"/>
      <c r="G292" s="28"/>
      <c r="H292" s="19"/>
      <c r="I292" s="23"/>
      <c r="J292" s="82">
        <f t="shared" si="45"/>
        <v>0</v>
      </c>
      <c r="K292" s="30"/>
      <c r="L292" s="83" t="str">
        <f t="shared" si="46"/>
        <v/>
      </c>
      <c r="M292" s="23"/>
      <c r="Q292" s="12"/>
      <c r="S292"/>
    </row>
    <row r="293" spans="1:19" x14ac:dyDescent="0.25">
      <c r="A293" s="12" t="str">
        <f t="shared" si="44"/>
        <v/>
      </c>
      <c r="B293" s="16"/>
      <c r="C293" s="17"/>
      <c r="D293" s="18"/>
      <c r="E293" s="29"/>
      <c r="F293" s="39"/>
      <c r="G293" s="40"/>
      <c r="H293" s="41"/>
      <c r="I293" s="42"/>
      <c r="J293" s="82">
        <f t="shared" si="45"/>
        <v>0</v>
      </c>
      <c r="K293" s="43"/>
      <c r="L293" s="83" t="str">
        <f t="shared" si="46"/>
        <v/>
      </c>
      <c r="M293" s="53"/>
      <c r="Q293" s="12"/>
      <c r="S293"/>
    </row>
    <row r="294" spans="1:19" x14ac:dyDescent="0.25">
      <c r="A294" s="12" t="str">
        <f t="shared" si="44"/>
        <v/>
      </c>
      <c r="B294" s="16"/>
      <c r="C294" s="17"/>
      <c r="D294" s="18"/>
      <c r="E294" s="29"/>
      <c r="F294" s="27"/>
      <c r="G294" s="28"/>
      <c r="H294" s="19"/>
      <c r="I294" s="23"/>
      <c r="J294" s="82">
        <f t="shared" si="45"/>
        <v>0</v>
      </c>
      <c r="K294" s="30"/>
      <c r="L294" s="83" t="str">
        <f t="shared" si="46"/>
        <v/>
      </c>
      <c r="M294" s="23"/>
      <c r="Q294" s="12"/>
      <c r="S294"/>
    </row>
    <row r="295" spans="1:19" x14ac:dyDescent="0.25">
      <c r="A295" s="12" t="str">
        <f t="shared" si="44"/>
        <v/>
      </c>
      <c r="B295" s="16"/>
      <c r="C295" s="17"/>
      <c r="D295" s="18"/>
      <c r="E295" s="29"/>
      <c r="F295" s="39"/>
      <c r="G295" s="40"/>
      <c r="H295" s="41"/>
      <c r="I295" s="42"/>
      <c r="J295" s="82">
        <f t="shared" si="45"/>
        <v>0</v>
      </c>
      <c r="K295" s="43"/>
      <c r="L295" s="83" t="str">
        <f t="shared" si="46"/>
        <v/>
      </c>
      <c r="M295" s="53"/>
      <c r="Q295" s="12"/>
      <c r="S295"/>
    </row>
    <row r="296" spans="1:19" x14ac:dyDescent="0.25">
      <c r="A296" s="12" t="str">
        <f t="shared" si="44"/>
        <v/>
      </c>
      <c r="B296" s="16"/>
      <c r="C296" s="17"/>
      <c r="D296" s="18"/>
      <c r="E296" s="29"/>
      <c r="F296" s="27"/>
      <c r="G296" s="28"/>
      <c r="H296" s="19"/>
      <c r="I296" s="23"/>
      <c r="J296" s="82">
        <f t="shared" si="45"/>
        <v>0</v>
      </c>
      <c r="K296" s="30"/>
      <c r="L296" s="83" t="str">
        <f t="shared" si="46"/>
        <v/>
      </c>
      <c r="M296" s="23"/>
      <c r="Q296" s="12"/>
      <c r="S296"/>
    </row>
    <row r="297" spans="1:19" x14ac:dyDescent="0.25">
      <c r="A297" s="12" t="str">
        <f t="shared" si="44"/>
        <v/>
      </c>
      <c r="B297" s="16"/>
      <c r="C297" s="17"/>
      <c r="D297" s="18"/>
      <c r="E297" s="29"/>
      <c r="F297" s="39"/>
      <c r="G297" s="40"/>
      <c r="H297" s="41"/>
      <c r="I297" s="42"/>
      <c r="J297" s="82">
        <f t="shared" si="45"/>
        <v>0</v>
      </c>
      <c r="K297" s="43"/>
      <c r="L297" s="83" t="str">
        <f t="shared" si="46"/>
        <v/>
      </c>
      <c r="M297" s="53"/>
      <c r="Q297" s="12"/>
      <c r="S297"/>
    </row>
    <row r="298" spans="1:19" x14ac:dyDescent="0.25">
      <c r="A298" s="12" t="str">
        <f t="shared" si="44"/>
        <v/>
      </c>
      <c r="B298" s="16"/>
      <c r="C298" s="17"/>
      <c r="D298" s="18"/>
      <c r="E298" s="29"/>
      <c r="F298" s="27"/>
      <c r="G298" s="28"/>
      <c r="H298" s="19"/>
      <c r="I298" s="23"/>
      <c r="J298" s="82">
        <f t="shared" si="45"/>
        <v>0</v>
      </c>
      <c r="K298" s="30"/>
      <c r="L298" s="83" t="str">
        <f t="shared" si="46"/>
        <v/>
      </c>
      <c r="M298" s="23"/>
      <c r="Q298" s="12"/>
      <c r="S298"/>
    </row>
    <row r="299" spans="1:19" x14ac:dyDescent="0.25">
      <c r="A299" s="12" t="str">
        <f t="shared" si="44"/>
        <v/>
      </c>
      <c r="B299" s="16"/>
      <c r="C299" s="17"/>
      <c r="D299" s="18"/>
      <c r="E299" s="29"/>
      <c r="F299" s="39"/>
      <c r="G299" s="40"/>
      <c r="H299" s="41"/>
      <c r="I299" s="42"/>
      <c r="J299" s="82">
        <f t="shared" si="45"/>
        <v>0</v>
      </c>
      <c r="K299" s="43"/>
      <c r="L299" s="83" t="str">
        <f t="shared" si="46"/>
        <v/>
      </c>
      <c r="M299" s="53"/>
      <c r="Q299" s="12"/>
      <c r="S299"/>
    </row>
    <row r="300" spans="1:19" x14ac:dyDescent="0.25">
      <c r="A300" s="12" t="str">
        <f t="shared" si="44"/>
        <v/>
      </c>
      <c r="B300" s="16"/>
      <c r="C300" s="17"/>
      <c r="D300" s="18"/>
      <c r="E300" s="29"/>
      <c r="F300" s="27"/>
      <c r="G300" s="28"/>
      <c r="H300" s="19"/>
      <c r="I300" s="23"/>
      <c r="J300" s="82">
        <f t="shared" si="45"/>
        <v>0</v>
      </c>
      <c r="K300" s="30"/>
      <c r="L300" s="83" t="str">
        <f t="shared" si="46"/>
        <v/>
      </c>
      <c r="M300" s="23"/>
      <c r="Q300" s="12"/>
      <c r="S300"/>
    </row>
    <row r="301" spans="1:19" x14ac:dyDescent="0.25">
      <c r="A301" s="12" t="str">
        <f t="shared" si="44"/>
        <v/>
      </c>
      <c r="B301" s="16"/>
      <c r="C301" s="17"/>
      <c r="D301" s="18"/>
      <c r="E301" s="29"/>
      <c r="F301" s="39"/>
      <c r="G301" s="40"/>
      <c r="H301" s="41"/>
      <c r="I301" s="42"/>
      <c r="J301" s="82">
        <f t="shared" si="45"/>
        <v>0</v>
      </c>
      <c r="K301" s="43"/>
      <c r="L301" s="83" t="str">
        <f t="shared" si="46"/>
        <v/>
      </c>
      <c r="M301" s="53"/>
      <c r="Q301" s="12"/>
      <c r="S301"/>
    </row>
    <row r="302" spans="1:19" x14ac:dyDescent="0.25">
      <c r="A302" s="12" t="str">
        <f t="shared" si="44"/>
        <v/>
      </c>
      <c r="B302" s="16"/>
      <c r="C302" s="17"/>
      <c r="D302" s="18"/>
      <c r="E302" s="29"/>
      <c r="F302" s="27"/>
      <c r="G302" s="28"/>
      <c r="H302" s="19"/>
      <c r="I302" s="23"/>
      <c r="J302" s="82">
        <f t="shared" si="45"/>
        <v>0</v>
      </c>
      <c r="K302" s="30"/>
      <c r="L302" s="83" t="str">
        <f t="shared" si="46"/>
        <v/>
      </c>
      <c r="M302" s="23"/>
      <c r="Q302" s="12"/>
      <c r="S302"/>
    </row>
    <row r="303" spans="1:19" x14ac:dyDescent="0.25">
      <c r="A303" s="12" t="str">
        <f t="shared" si="44"/>
        <v/>
      </c>
      <c r="B303" s="16"/>
      <c r="C303" s="17"/>
      <c r="D303" s="18"/>
      <c r="E303" s="29"/>
      <c r="F303" s="39"/>
      <c r="G303" s="40"/>
      <c r="H303" s="41"/>
      <c r="I303" s="42"/>
      <c r="J303" s="82">
        <f t="shared" si="45"/>
        <v>0</v>
      </c>
      <c r="K303" s="43"/>
      <c r="L303" s="83" t="str">
        <f t="shared" si="46"/>
        <v/>
      </c>
      <c r="M303" s="53"/>
      <c r="Q303" s="12"/>
      <c r="S303"/>
    </row>
    <row r="304" spans="1:19" x14ac:dyDescent="0.25">
      <c r="A304" s="12" t="str">
        <f t="shared" si="44"/>
        <v/>
      </c>
      <c r="B304" s="16"/>
      <c r="C304" s="17"/>
      <c r="D304" s="18"/>
      <c r="E304" s="29"/>
      <c r="F304" s="27"/>
      <c r="G304" s="28"/>
      <c r="H304" s="19"/>
      <c r="I304" s="23"/>
      <c r="J304" s="82">
        <f t="shared" si="45"/>
        <v>0</v>
      </c>
      <c r="K304" s="30"/>
      <c r="L304" s="83" t="str">
        <f t="shared" si="46"/>
        <v/>
      </c>
      <c r="M304" s="23"/>
      <c r="Q304" s="12"/>
      <c r="S304"/>
    </row>
    <row r="305" spans="1:19" x14ac:dyDescent="0.25">
      <c r="A305" s="12" t="str">
        <f t="shared" si="44"/>
        <v/>
      </c>
      <c r="B305" s="16"/>
      <c r="C305" s="17"/>
      <c r="D305" s="18"/>
      <c r="E305" s="29"/>
      <c r="F305" s="39"/>
      <c r="G305" s="40"/>
      <c r="H305" s="41"/>
      <c r="I305" s="42"/>
      <c r="J305" s="82">
        <f t="shared" si="45"/>
        <v>0</v>
      </c>
      <c r="K305" s="43"/>
      <c r="L305" s="83" t="str">
        <f t="shared" si="46"/>
        <v/>
      </c>
      <c r="M305" s="53"/>
      <c r="Q305" s="12"/>
      <c r="S305"/>
    </row>
    <row r="306" spans="1:19" x14ac:dyDescent="0.25">
      <c r="A306" s="12" t="str">
        <f t="shared" si="44"/>
        <v/>
      </c>
      <c r="B306" s="16"/>
      <c r="C306" s="17"/>
      <c r="D306" s="18"/>
      <c r="E306" s="29"/>
      <c r="F306" s="27"/>
      <c r="G306" s="28"/>
      <c r="H306" s="19"/>
      <c r="I306" s="23"/>
      <c r="J306" s="82">
        <f t="shared" si="45"/>
        <v>0</v>
      </c>
      <c r="K306" s="30"/>
      <c r="L306" s="83" t="str">
        <f t="shared" si="46"/>
        <v/>
      </c>
      <c r="M306" s="23"/>
      <c r="Q306" s="12"/>
      <c r="S306"/>
    </row>
    <row r="307" spans="1:19" x14ac:dyDescent="0.25">
      <c r="A307" s="12" t="str">
        <f t="shared" si="44"/>
        <v/>
      </c>
      <c r="B307" s="16"/>
      <c r="C307" s="17"/>
      <c r="D307" s="18"/>
      <c r="E307" s="29"/>
      <c r="F307" s="39"/>
      <c r="G307" s="40"/>
      <c r="H307" s="41"/>
      <c r="I307" s="42"/>
      <c r="J307" s="82">
        <f t="shared" si="45"/>
        <v>0</v>
      </c>
      <c r="K307" s="43"/>
      <c r="L307" s="83" t="str">
        <f t="shared" si="46"/>
        <v/>
      </c>
      <c r="M307" s="53"/>
      <c r="Q307" s="12"/>
      <c r="S307"/>
    </row>
    <row r="308" spans="1:19" x14ac:dyDescent="0.25">
      <c r="A308" s="12" t="str">
        <f t="shared" ref="A308:A371" si="47">IFERROR(DATE(B308,C308,D308),"")</f>
        <v/>
      </c>
      <c r="B308" s="16"/>
      <c r="C308" s="17"/>
      <c r="D308" s="18"/>
      <c r="E308" s="29"/>
      <c r="F308" s="27"/>
      <c r="G308" s="28"/>
      <c r="H308" s="19"/>
      <c r="I308" s="23"/>
      <c r="J308" s="82">
        <f t="shared" ref="J308:J371" si="48">IF(E308="entrada",H308*I308,H308*I308*-1)</f>
        <v>0</v>
      </c>
      <c r="K308" s="30"/>
      <c r="L308" s="83" t="str">
        <f t="shared" ref="L308:L371" si="49">IF(J308=0,"",SUM(L307,J308))</f>
        <v/>
      </c>
      <c r="M308" s="23"/>
      <c r="Q308" s="12"/>
      <c r="S308"/>
    </row>
    <row r="309" spans="1:19" x14ac:dyDescent="0.25">
      <c r="A309" s="12" t="str">
        <f t="shared" si="47"/>
        <v/>
      </c>
      <c r="B309" s="16"/>
      <c r="C309" s="17"/>
      <c r="D309" s="18"/>
      <c r="E309" s="29"/>
      <c r="F309" s="39"/>
      <c r="G309" s="40"/>
      <c r="H309" s="41"/>
      <c r="I309" s="42"/>
      <c r="J309" s="82">
        <f t="shared" si="48"/>
        <v>0</v>
      </c>
      <c r="K309" s="43"/>
      <c r="L309" s="83" t="str">
        <f t="shared" si="49"/>
        <v/>
      </c>
      <c r="M309" s="53"/>
      <c r="Q309" s="12"/>
      <c r="S309"/>
    </row>
    <row r="310" spans="1:19" x14ac:dyDescent="0.25">
      <c r="A310" s="12" t="str">
        <f t="shared" si="47"/>
        <v/>
      </c>
      <c r="B310" s="16"/>
      <c r="C310" s="17"/>
      <c r="D310" s="18"/>
      <c r="E310" s="29"/>
      <c r="F310" s="27"/>
      <c r="G310" s="28"/>
      <c r="H310" s="19"/>
      <c r="I310" s="23"/>
      <c r="J310" s="82">
        <f t="shared" si="48"/>
        <v>0</v>
      </c>
      <c r="K310" s="30"/>
      <c r="L310" s="83" t="str">
        <f t="shared" si="49"/>
        <v/>
      </c>
      <c r="M310" s="23"/>
      <c r="Q310" s="12"/>
      <c r="S310"/>
    </row>
    <row r="311" spans="1:19" x14ac:dyDescent="0.25">
      <c r="A311" s="12" t="str">
        <f t="shared" si="47"/>
        <v/>
      </c>
      <c r="B311" s="16"/>
      <c r="C311" s="17"/>
      <c r="D311" s="18"/>
      <c r="E311" s="29"/>
      <c r="F311" s="39"/>
      <c r="G311" s="40"/>
      <c r="H311" s="41"/>
      <c r="I311" s="42"/>
      <c r="J311" s="82">
        <f t="shared" si="48"/>
        <v>0</v>
      </c>
      <c r="K311" s="43"/>
      <c r="L311" s="83" t="str">
        <f t="shared" si="49"/>
        <v/>
      </c>
      <c r="M311" s="53"/>
      <c r="Q311" s="12"/>
      <c r="S311"/>
    </row>
    <row r="312" spans="1:19" x14ac:dyDescent="0.25">
      <c r="A312" s="12" t="str">
        <f t="shared" si="47"/>
        <v/>
      </c>
      <c r="B312" s="16"/>
      <c r="C312" s="17"/>
      <c r="D312" s="18"/>
      <c r="E312" s="29"/>
      <c r="F312" s="27"/>
      <c r="G312" s="28"/>
      <c r="H312" s="19"/>
      <c r="I312" s="23"/>
      <c r="J312" s="82">
        <f t="shared" si="48"/>
        <v>0</v>
      </c>
      <c r="K312" s="30"/>
      <c r="L312" s="83" t="str">
        <f t="shared" si="49"/>
        <v/>
      </c>
      <c r="M312" s="23"/>
      <c r="Q312" s="12"/>
      <c r="S312"/>
    </row>
    <row r="313" spans="1:19" x14ac:dyDescent="0.25">
      <c r="A313" s="12" t="str">
        <f t="shared" si="47"/>
        <v/>
      </c>
      <c r="B313" s="16"/>
      <c r="C313" s="17"/>
      <c r="D313" s="18"/>
      <c r="E313" s="29"/>
      <c r="F313" s="39"/>
      <c r="G313" s="40"/>
      <c r="H313" s="41"/>
      <c r="I313" s="42"/>
      <c r="J313" s="82">
        <f t="shared" si="48"/>
        <v>0</v>
      </c>
      <c r="K313" s="43"/>
      <c r="L313" s="83" t="str">
        <f t="shared" si="49"/>
        <v/>
      </c>
      <c r="M313" s="53"/>
      <c r="Q313" s="12"/>
      <c r="S313"/>
    </row>
    <row r="314" spans="1:19" x14ac:dyDescent="0.25">
      <c r="A314" s="12" t="str">
        <f t="shared" si="47"/>
        <v/>
      </c>
      <c r="B314" s="16"/>
      <c r="C314" s="17"/>
      <c r="D314" s="18"/>
      <c r="E314" s="29"/>
      <c r="F314" s="27"/>
      <c r="G314" s="28"/>
      <c r="H314" s="19"/>
      <c r="I314" s="23"/>
      <c r="J314" s="82">
        <f t="shared" si="48"/>
        <v>0</v>
      </c>
      <c r="K314" s="30"/>
      <c r="L314" s="83" t="str">
        <f t="shared" si="49"/>
        <v/>
      </c>
      <c r="M314" s="23"/>
      <c r="Q314" s="12"/>
      <c r="S314"/>
    </row>
    <row r="315" spans="1:19" x14ac:dyDescent="0.25">
      <c r="A315" s="12" t="str">
        <f t="shared" si="47"/>
        <v/>
      </c>
      <c r="B315" s="16"/>
      <c r="C315" s="17"/>
      <c r="D315" s="18"/>
      <c r="E315" s="29"/>
      <c r="F315" s="39"/>
      <c r="G315" s="40"/>
      <c r="H315" s="41"/>
      <c r="I315" s="42"/>
      <c r="J315" s="82">
        <f t="shared" si="48"/>
        <v>0</v>
      </c>
      <c r="K315" s="43"/>
      <c r="L315" s="83" t="str">
        <f t="shared" si="49"/>
        <v/>
      </c>
      <c r="M315" s="53"/>
      <c r="Q315" s="12"/>
      <c r="S315"/>
    </row>
    <row r="316" spans="1:19" x14ac:dyDescent="0.25">
      <c r="A316" s="12" t="str">
        <f t="shared" si="47"/>
        <v/>
      </c>
      <c r="B316" s="16"/>
      <c r="C316" s="17"/>
      <c r="D316" s="18"/>
      <c r="E316" s="29"/>
      <c r="F316" s="27"/>
      <c r="G316" s="28"/>
      <c r="H316" s="19"/>
      <c r="I316" s="23"/>
      <c r="J316" s="82">
        <f t="shared" si="48"/>
        <v>0</v>
      </c>
      <c r="K316" s="30"/>
      <c r="L316" s="83" t="str">
        <f t="shared" si="49"/>
        <v/>
      </c>
      <c r="M316" s="23"/>
      <c r="Q316" s="12"/>
      <c r="S316"/>
    </row>
    <row r="317" spans="1:19" x14ac:dyDescent="0.25">
      <c r="A317" s="12" t="str">
        <f t="shared" si="47"/>
        <v/>
      </c>
      <c r="B317" s="16"/>
      <c r="C317" s="17"/>
      <c r="D317" s="18"/>
      <c r="E317" s="29"/>
      <c r="F317" s="39"/>
      <c r="G317" s="40"/>
      <c r="H317" s="41"/>
      <c r="I317" s="42"/>
      <c r="J317" s="82">
        <f t="shared" si="48"/>
        <v>0</v>
      </c>
      <c r="K317" s="43"/>
      <c r="L317" s="83" t="str">
        <f t="shared" si="49"/>
        <v/>
      </c>
      <c r="M317" s="53"/>
      <c r="Q317" s="12"/>
      <c r="S317"/>
    </row>
    <row r="318" spans="1:19" x14ac:dyDescent="0.25">
      <c r="A318" s="12" t="str">
        <f t="shared" si="47"/>
        <v/>
      </c>
      <c r="B318" s="16"/>
      <c r="C318" s="17"/>
      <c r="D318" s="18"/>
      <c r="E318" s="29"/>
      <c r="F318" s="27"/>
      <c r="G318" s="28"/>
      <c r="H318" s="19"/>
      <c r="I318" s="23"/>
      <c r="J318" s="82">
        <f t="shared" si="48"/>
        <v>0</v>
      </c>
      <c r="K318" s="30"/>
      <c r="L318" s="83" t="str">
        <f t="shared" si="49"/>
        <v/>
      </c>
      <c r="M318" s="23"/>
      <c r="Q318" s="12"/>
      <c r="S318"/>
    </row>
    <row r="319" spans="1:19" x14ac:dyDescent="0.25">
      <c r="A319" s="12" t="str">
        <f t="shared" si="47"/>
        <v/>
      </c>
      <c r="B319" s="16"/>
      <c r="C319" s="17"/>
      <c r="D319" s="18"/>
      <c r="E319" s="29"/>
      <c r="F319" s="39"/>
      <c r="G319" s="40"/>
      <c r="H319" s="41"/>
      <c r="I319" s="42"/>
      <c r="J319" s="82">
        <f t="shared" si="48"/>
        <v>0</v>
      </c>
      <c r="K319" s="43"/>
      <c r="L319" s="83" t="str">
        <f t="shared" si="49"/>
        <v/>
      </c>
      <c r="M319" s="53"/>
      <c r="Q319" s="12"/>
      <c r="S319"/>
    </row>
    <row r="320" spans="1:19" x14ac:dyDescent="0.25">
      <c r="A320" s="12" t="str">
        <f t="shared" si="47"/>
        <v/>
      </c>
      <c r="B320" s="16"/>
      <c r="C320" s="17"/>
      <c r="D320" s="18"/>
      <c r="E320" s="29"/>
      <c r="F320" s="27"/>
      <c r="G320" s="28"/>
      <c r="H320" s="19"/>
      <c r="I320" s="23"/>
      <c r="J320" s="82">
        <f t="shared" si="48"/>
        <v>0</v>
      </c>
      <c r="K320" s="30"/>
      <c r="L320" s="83" t="str">
        <f t="shared" si="49"/>
        <v/>
      </c>
      <c r="M320" s="23"/>
      <c r="Q320" s="12"/>
      <c r="S320"/>
    </row>
    <row r="321" spans="1:19" x14ac:dyDescent="0.25">
      <c r="A321" s="12" t="str">
        <f t="shared" si="47"/>
        <v/>
      </c>
      <c r="B321" s="16"/>
      <c r="C321" s="17"/>
      <c r="D321" s="18"/>
      <c r="E321" s="29"/>
      <c r="F321" s="39"/>
      <c r="G321" s="40"/>
      <c r="H321" s="41"/>
      <c r="I321" s="42"/>
      <c r="J321" s="82">
        <f t="shared" si="48"/>
        <v>0</v>
      </c>
      <c r="K321" s="43"/>
      <c r="L321" s="83" t="str">
        <f t="shared" si="49"/>
        <v/>
      </c>
      <c r="M321" s="53"/>
      <c r="Q321" s="12"/>
      <c r="S321"/>
    </row>
    <row r="322" spans="1:19" x14ac:dyDescent="0.25">
      <c r="A322" s="12" t="str">
        <f t="shared" si="47"/>
        <v/>
      </c>
      <c r="B322" s="16"/>
      <c r="C322" s="17"/>
      <c r="D322" s="18"/>
      <c r="E322" s="29"/>
      <c r="F322" s="27"/>
      <c r="G322" s="28"/>
      <c r="H322" s="19"/>
      <c r="I322" s="23"/>
      <c r="J322" s="82">
        <f t="shared" si="48"/>
        <v>0</v>
      </c>
      <c r="K322" s="30"/>
      <c r="L322" s="83" t="str">
        <f t="shared" si="49"/>
        <v/>
      </c>
      <c r="M322" s="23"/>
      <c r="Q322" s="12"/>
      <c r="S322"/>
    </row>
    <row r="323" spans="1:19" x14ac:dyDescent="0.25">
      <c r="A323" s="12" t="str">
        <f t="shared" si="47"/>
        <v/>
      </c>
      <c r="B323" s="16"/>
      <c r="C323" s="17"/>
      <c r="D323" s="18"/>
      <c r="E323" s="29"/>
      <c r="F323" s="39"/>
      <c r="G323" s="40"/>
      <c r="H323" s="41"/>
      <c r="I323" s="42"/>
      <c r="J323" s="82">
        <f t="shared" si="48"/>
        <v>0</v>
      </c>
      <c r="K323" s="43"/>
      <c r="L323" s="83" t="str">
        <f t="shared" si="49"/>
        <v/>
      </c>
      <c r="M323" s="53"/>
      <c r="Q323" s="12"/>
      <c r="S323"/>
    </row>
    <row r="324" spans="1:19" x14ac:dyDescent="0.25">
      <c r="A324" s="12" t="str">
        <f t="shared" si="47"/>
        <v/>
      </c>
      <c r="B324" s="16"/>
      <c r="C324" s="17"/>
      <c r="D324" s="18"/>
      <c r="E324" s="29"/>
      <c r="F324" s="27"/>
      <c r="G324" s="28"/>
      <c r="H324" s="19"/>
      <c r="I324" s="23"/>
      <c r="J324" s="82">
        <f t="shared" si="48"/>
        <v>0</v>
      </c>
      <c r="K324" s="30"/>
      <c r="L324" s="83" t="str">
        <f t="shared" si="49"/>
        <v/>
      </c>
      <c r="M324" s="23"/>
      <c r="Q324" s="12"/>
      <c r="S324"/>
    </row>
    <row r="325" spans="1:19" x14ac:dyDescent="0.25">
      <c r="A325" s="12" t="str">
        <f t="shared" si="47"/>
        <v/>
      </c>
      <c r="B325" s="16"/>
      <c r="C325" s="17"/>
      <c r="D325" s="18"/>
      <c r="E325" s="29"/>
      <c r="F325" s="39"/>
      <c r="G325" s="40"/>
      <c r="H325" s="41"/>
      <c r="I325" s="42"/>
      <c r="J325" s="82">
        <f t="shared" si="48"/>
        <v>0</v>
      </c>
      <c r="K325" s="43"/>
      <c r="L325" s="83" t="str">
        <f t="shared" si="49"/>
        <v/>
      </c>
      <c r="M325" s="53"/>
      <c r="Q325" s="12"/>
      <c r="S325"/>
    </row>
    <row r="326" spans="1:19" x14ac:dyDescent="0.25">
      <c r="A326" s="12" t="str">
        <f t="shared" si="47"/>
        <v/>
      </c>
      <c r="B326" s="16"/>
      <c r="C326" s="17"/>
      <c r="D326" s="18"/>
      <c r="E326" s="29"/>
      <c r="F326" s="27"/>
      <c r="G326" s="28"/>
      <c r="H326" s="19"/>
      <c r="I326" s="23"/>
      <c r="J326" s="82">
        <f t="shared" si="48"/>
        <v>0</v>
      </c>
      <c r="K326" s="30"/>
      <c r="L326" s="83" t="str">
        <f t="shared" si="49"/>
        <v/>
      </c>
      <c r="M326" s="23"/>
      <c r="Q326" s="12"/>
      <c r="S326"/>
    </row>
    <row r="327" spans="1:19" x14ac:dyDescent="0.25">
      <c r="A327" s="12" t="str">
        <f t="shared" si="47"/>
        <v/>
      </c>
      <c r="B327" s="16"/>
      <c r="C327" s="17"/>
      <c r="D327" s="18"/>
      <c r="E327" s="29"/>
      <c r="F327" s="39"/>
      <c r="G327" s="40"/>
      <c r="H327" s="41"/>
      <c r="I327" s="42"/>
      <c r="J327" s="82">
        <f t="shared" si="48"/>
        <v>0</v>
      </c>
      <c r="K327" s="43"/>
      <c r="L327" s="83" t="str">
        <f t="shared" si="49"/>
        <v/>
      </c>
      <c r="M327" s="53"/>
      <c r="Q327" s="12"/>
      <c r="S327"/>
    </row>
    <row r="328" spans="1:19" x14ac:dyDescent="0.25">
      <c r="A328" s="12" t="str">
        <f t="shared" si="47"/>
        <v/>
      </c>
      <c r="B328" s="16"/>
      <c r="C328" s="17"/>
      <c r="D328" s="18"/>
      <c r="E328" s="29"/>
      <c r="F328" s="27"/>
      <c r="G328" s="28"/>
      <c r="H328" s="19"/>
      <c r="I328" s="23"/>
      <c r="J328" s="82">
        <f t="shared" si="48"/>
        <v>0</v>
      </c>
      <c r="K328" s="30"/>
      <c r="L328" s="83" t="str">
        <f t="shared" si="49"/>
        <v/>
      </c>
      <c r="M328" s="23"/>
      <c r="Q328" s="12"/>
      <c r="S328"/>
    </row>
    <row r="329" spans="1:19" x14ac:dyDescent="0.25">
      <c r="A329" s="12" t="str">
        <f t="shared" si="47"/>
        <v/>
      </c>
      <c r="B329" s="16"/>
      <c r="C329" s="17"/>
      <c r="D329" s="18"/>
      <c r="E329" s="29"/>
      <c r="F329" s="39"/>
      <c r="G329" s="40"/>
      <c r="H329" s="41"/>
      <c r="I329" s="42"/>
      <c r="J329" s="82">
        <f t="shared" si="48"/>
        <v>0</v>
      </c>
      <c r="K329" s="43"/>
      <c r="L329" s="83" t="str">
        <f t="shared" si="49"/>
        <v/>
      </c>
      <c r="M329" s="53"/>
      <c r="Q329" s="12"/>
      <c r="S329"/>
    </row>
    <row r="330" spans="1:19" x14ac:dyDescent="0.25">
      <c r="A330" s="12" t="str">
        <f t="shared" si="47"/>
        <v/>
      </c>
      <c r="B330" s="16"/>
      <c r="C330" s="17"/>
      <c r="D330" s="18"/>
      <c r="E330" s="29"/>
      <c r="F330" s="27"/>
      <c r="G330" s="28"/>
      <c r="H330" s="19"/>
      <c r="I330" s="23"/>
      <c r="J330" s="82">
        <f t="shared" si="48"/>
        <v>0</v>
      </c>
      <c r="K330" s="30"/>
      <c r="L330" s="83" t="str">
        <f t="shared" si="49"/>
        <v/>
      </c>
      <c r="M330" s="23"/>
      <c r="Q330" s="12"/>
      <c r="S330"/>
    </row>
    <row r="331" spans="1:19" x14ac:dyDescent="0.25">
      <c r="A331" s="12" t="str">
        <f t="shared" si="47"/>
        <v/>
      </c>
      <c r="B331" s="16"/>
      <c r="C331" s="17"/>
      <c r="D331" s="18"/>
      <c r="E331" s="29"/>
      <c r="F331" s="39"/>
      <c r="G331" s="40"/>
      <c r="H331" s="41"/>
      <c r="I331" s="42"/>
      <c r="J331" s="82">
        <f t="shared" si="48"/>
        <v>0</v>
      </c>
      <c r="K331" s="43"/>
      <c r="L331" s="83" t="str">
        <f t="shared" si="49"/>
        <v/>
      </c>
      <c r="M331" s="53"/>
      <c r="Q331" s="12"/>
      <c r="S331"/>
    </row>
    <row r="332" spans="1:19" x14ac:dyDescent="0.25">
      <c r="A332" s="12" t="str">
        <f t="shared" si="47"/>
        <v/>
      </c>
      <c r="B332" s="16"/>
      <c r="C332" s="17"/>
      <c r="D332" s="18"/>
      <c r="E332" s="29"/>
      <c r="F332" s="27"/>
      <c r="G332" s="28"/>
      <c r="H332" s="19"/>
      <c r="I332" s="23"/>
      <c r="J332" s="82">
        <f t="shared" si="48"/>
        <v>0</v>
      </c>
      <c r="K332" s="30"/>
      <c r="L332" s="83" t="str">
        <f t="shared" si="49"/>
        <v/>
      </c>
      <c r="M332" s="23"/>
      <c r="Q332" s="12"/>
      <c r="S332"/>
    </row>
    <row r="333" spans="1:19" x14ac:dyDescent="0.25">
      <c r="A333" s="12" t="str">
        <f t="shared" si="47"/>
        <v/>
      </c>
      <c r="B333" s="16"/>
      <c r="C333" s="17"/>
      <c r="D333" s="18"/>
      <c r="E333" s="29"/>
      <c r="F333" s="39"/>
      <c r="G333" s="40"/>
      <c r="H333" s="41"/>
      <c r="I333" s="42"/>
      <c r="J333" s="82">
        <f t="shared" si="48"/>
        <v>0</v>
      </c>
      <c r="K333" s="43"/>
      <c r="L333" s="83" t="str">
        <f t="shared" si="49"/>
        <v/>
      </c>
      <c r="M333" s="53"/>
      <c r="Q333" s="12"/>
      <c r="S333"/>
    </row>
    <row r="334" spans="1:19" x14ac:dyDescent="0.25">
      <c r="A334" s="12" t="str">
        <f t="shared" si="47"/>
        <v/>
      </c>
      <c r="B334" s="16"/>
      <c r="C334" s="17"/>
      <c r="D334" s="18"/>
      <c r="E334" s="29"/>
      <c r="F334" s="27"/>
      <c r="G334" s="28"/>
      <c r="H334" s="19"/>
      <c r="I334" s="23"/>
      <c r="J334" s="82">
        <f t="shared" si="48"/>
        <v>0</v>
      </c>
      <c r="K334" s="30"/>
      <c r="L334" s="83" t="str">
        <f t="shared" si="49"/>
        <v/>
      </c>
      <c r="M334" s="23"/>
      <c r="Q334" s="12"/>
      <c r="S334"/>
    </row>
    <row r="335" spans="1:19" x14ac:dyDescent="0.25">
      <c r="A335" s="12" t="str">
        <f t="shared" si="47"/>
        <v/>
      </c>
      <c r="B335" s="16"/>
      <c r="C335" s="17"/>
      <c r="D335" s="18"/>
      <c r="E335" s="29"/>
      <c r="F335" s="39"/>
      <c r="G335" s="40"/>
      <c r="H335" s="41"/>
      <c r="I335" s="42"/>
      <c r="J335" s="82">
        <f t="shared" si="48"/>
        <v>0</v>
      </c>
      <c r="K335" s="43"/>
      <c r="L335" s="83" t="str">
        <f t="shared" si="49"/>
        <v/>
      </c>
      <c r="M335" s="53"/>
      <c r="Q335" s="12"/>
      <c r="S335"/>
    </row>
    <row r="336" spans="1:19" x14ac:dyDescent="0.25">
      <c r="A336" s="12" t="str">
        <f t="shared" si="47"/>
        <v/>
      </c>
      <c r="B336" s="16"/>
      <c r="C336" s="17"/>
      <c r="D336" s="18"/>
      <c r="E336" s="29"/>
      <c r="F336" s="27"/>
      <c r="G336" s="28"/>
      <c r="H336" s="19"/>
      <c r="I336" s="23"/>
      <c r="J336" s="82">
        <f t="shared" si="48"/>
        <v>0</v>
      </c>
      <c r="K336" s="30"/>
      <c r="L336" s="83" t="str">
        <f t="shared" si="49"/>
        <v/>
      </c>
      <c r="M336" s="23"/>
      <c r="Q336" s="12"/>
      <c r="S336"/>
    </row>
    <row r="337" spans="1:19" x14ac:dyDescent="0.25">
      <c r="A337" s="12" t="str">
        <f t="shared" si="47"/>
        <v/>
      </c>
      <c r="B337" s="16"/>
      <c r="C337" s="17"/>
      <c r="D337" s="18"/>
      <c r="E337" s="29"/>
      <c r="F337" s="39"/>
      <c r="G337" s="40"/>
      <c r="H337" s="41"/>
      <c r="I337" s="42"/>
      <c r="J337" s="82">
        <f t="shared" si="48"/>
        <v>0</v>
      </c>
      <c r="K337" s="43"/>
      <c r="L337" s="83" t="str">
        <f t="shared" si="49"/>
        <v/>
      </c>
      <c r="M337" s="53"/>
      <c r="Q337" s="12"/>
      <c r="S337"/>
    </row>
    <row r="338" spans="1:19" x14ac:dyDescent="0.25">
      <c r="A338" s="12" t="str">
        <f t="shared" si="47"/>
        <v/>
      </c>
      <c r="B338" s="16"/>
      <c r="C338" s="17"/>
      <c r="D338" s="18"/>
      <c r="E338" s="29"/>
      <c r="F338" s="27"/>
      <c r="G338" s="28"/>
      <c r="H338" s="19"/>
      <c r="I338" s="23"/>
      <c r="J338" s="82">
        <f t="shared" si="48"/>
        <v>0</v>
      </c>
      <c r="K338" s="30"/>
      <c r="L338" s="83" t="str">
        <f t="shared" si="49"/>
        <v/>
      </c>
      <c r="M338" s="23"/>
      <c r="Q338" s="12"/>
      <c r="S338"/>
    </row>
    <row r="339" spans="1:19" x14ac:dyDescent="0.25">
      <c r="A339" s="12" t="str">
        <f t="shared" si="47"/>
        <v/>
      </c>
      <c r="B339" s="16"/>
      <c r="C339" s="17"/>
      <c r="D339" s="18"/>
      <c r="E339" s="29"/>
      <c r="F339" s="39"/>
      <c r="G339" s="40"/>
      <c r="H339" s="41"/>
      <c r="I339" s="42"/>
      <c r="J339" s="82">
        <f t="shared" si="48"/>
        <v>0</v>
      </c>
      <c r="K339" s="43"/>
      <c r="L339" s="83" t="str">
        <f t="shared" si="49"/>
        <v/>
      </c>
      <c r="M339" s="53"/>
      <c r="Q339" s="12"/>
      <c r="S339"/>
    </row>
    <row r="340" spans="1:19" x14ac:dyDescent="0.25">
      <c r="A340" s="12" t="str">
        <f t="shared" si="47"/>
        <v/>
      </c>
      <c r="B340" s="16"/>
      <c r="C340" s="17"/>
      <c r="D340" s="18"/>
      <c r="E340" s="29"/>
      <c r="F340" s="27"/>
      <c r="G340" s="28"/>
      <c r="H340" s="19"/>
      <c r="I340" s="23"/>
      <c r="J340" s="82">
        <f t="shared" si="48"/>
        <v>0</v>
      </c>
      <c r="K340" s="30"/>
      <c r="L340" s="83" t="str">
        <f t="shared" si="49"/>
        <v/>
      </c>
      <c r="M340" s="23"/>
      <c r="Q340" s="12"/>
      <c r="S340"/>
    </row>
    <row r="341" spans="1:19" x14ac:dyDescent="0.25">
      <c r="A341" s="12" t="str">
        <f t="shared" si="47"/>
        <v/>
      </c>
      <c r="B341" s="16"/>
      <c r="C341" s="17"/>
      <c r="D341" s="18"/>
      <c r="E341" s="29"/>
      <c r="F341" s="39"/>
      <c r="G341" s="40"/>
      <c r="H341" s="41"/>
      <c r="I341" s="42"/>
      <c r="J341" s="82">
        <f t="shared" si="48"/>
        <v>0</v>
      </c>
      <c r="K341" s="43"/>
      <c r="L341" s="83" t="str">
        <f t="shared" si="49"/>
        <v/>
      </c>
      <c r="M341" s="53"/>
      <c r="Q341" s="12"/>
      <c r="S341"/>
    </row>
    <row r="342" spans="1:19" x14ac:dyDescent="0.25">
      <c r="A342" s="12" t="str">
        <f t="shared" si="47"/>
        <v/>
      </c>
      <c r="B342" s="16"/>
      <c r="C342" s="17"/>
      <c r="D342" s="18"/>
      <c r="E342" s="29"/>
      <c r="F342" s="27"/>
      <c r="G342" s="28"/>
      <c r="H342" s="19"/>
      <c r="I342" s="23"/>
      <c r="J342" s="82">
        <f t="shared" si="48"/>
        <v>0</v>
      </c>
      <c r="K342" s="30"/>
      <c r="L342" s="83" t="str">
        <f t="shared" si="49"/>
        <v/>
      </c>
      <c r="M342" s="23"/>
      <c r="Q342" s="12"/>
      <c r="S342"/>
    </row>
    <row r="343" spans="1:19" x14ac:dyDescent="0.25">
      <c r="A343" s="12" t="str">
        <f t="shared" si="47"/>
        <v/>
      </c>
      <c r="B343" s="16"/>
      <c r="C343" s="17"/>
      <c r="D343" s="18"/>
      <c r="E343" s="29"/>
      <c r="F343" s="39"/>
      <c r="G343" s="40"/>
      <c r="H343" s="41"/>
      <c r="I343" s="42"/>
      <c r="J343" s="82">
        <f t="shared" si="48"/>
        <v>0</v>
      </c>
      <c r="K343" s="43"/>
      <c r="L343" s="83" t="str">
        <f t="shared" si="49"/>
        <v/>
      </c>
      <c r="M343" s="53"/>
      <c r="Q343" s="12"/>
      <c r="S343"/>
    </row>
    <row r="344" spans="1:19" x14ac:dyDescent="0.25">
      <c r="A344" s="12" t="str">
        <f t="shared" si="47"/>
        <v/>
      </c>
      <c r="B344" s="16"/>
      <c r="C344" s="17"/>
      <c r="D344" s="18"/>
      <c r="E344" s="29"/>
      <c r="F344" s="27"/>
      <c r="G344" s="28"/>
      <c r="H344" s="19"/>
      <c r="I344" s="23"/>
      <c r="J344" s="82">
        <f t="shared" si="48"/>
        <v>0</v>
      </c>
      <c r="K344" s="30"/>
      <c r="L344" s="83" t="str">
        <f t="shared" si="49"/>
        <v/>
      </c>
      <c r="M344" s="23"/>
      <c r="Q344" s="12"/>
      <c r="S344"/>
    </row>
    <row r="345" spans="1:19" x14ac:dyDescent="0.25">
      <c r="A345" s="12" t="str">
        <f t="shared" si="47"/>
        <v/>
      </c>
      <c r="B345" s="16"/>
      <c r="C345" s="17"/>
      <c r="D345" s="18"/>
      <c r="E345" s="29"/>
      <c r="F345" s="39"/>
      <c r="G345" s="40"/>
      <c r="H345" s="41"/>
      <c r="I345" s="42"/>
      <c r="J345" s="82">
        <f t="shared" si="48"/>
        <v>0</v>
      </c>
      <c r="K345" s="43"/>
      <c r="L345" s="83" t="str">
        <f t="shared" si="49"/>
        <v/>
      </c>
      <c r="M345" s="53"/>
      <c r="Q345" s="12"/>
      <c r="S345"/>
    </row>
    <row r="346" spans="1:19" x14ac:dyDescent="0.25">
      <c r="A346" s="12" t="str">
        <f t="shared" si="47"/>
        <v/>
      </c>
      <c r="B346" s="16"/>
      <c r="C346" s="17"/>
      <c r="D346" s="18"/>
      <c r="E346" s="29"/>
      <c r="F346" s="27"/>
      <c r="G346" s="28"/>
      <c r="H346" s="19"/>
      <c r="I346" s="23"/>
      <c r="J346" s="82">
        <f t="shared" si="48"/>
        <v>0</v>
      </c>
      <c r="K346" s="30"/>
      <c r="L346" s="83" t="str">
        <f t="shared" si="49"/>
        <v/>
      </c>
      <c r="M346" s="23"/>
      <c r="Q346" s="12"/>
      <c r="S346"/>
    </row>
    <row r="347" spans="1:19" x14ac:dyDescent="0.25">
      <c r="A347" s="12" t="str">
        <f t="shared" si="47"/>
        <v/>
      </c>
      <c r="B347" s="16"/>
      <c r="C347" s="17"/>
      <c r="D347" s="18"/>
      <c r="E347" s="29"/>
      <c r="F347" s="39"/>
      <c r="G347" s="40"/>
      <c r="H347" s="41"/>
      <c r="I347" s="42"/>
      <c r="J347" s="82">
        <f t="shared" si="48"/>
        <v>0</v>
      </c>
      <c r="K347" s="43"/>
      <c r="L347" s="83" t="str">
        <f t="shared" si="49"/>
        <v/>
      </c>
      <c r="M347" s="53"/>
      <c r="Q347" s="12"/>
      <c r="S347"/>
    </row>
    <row r="348" spans="1:19" x14ac:dyDescent="0.25">
      <c r="A348" s="12" t="str">
        <f t="shared" si="47"/>
        <v/>
      </c>
      <c r="B348" s="16"/>
      <c r="C348" s="17"/>
      <c r="D348" s="18"/>
      <c r="E348" s="29"/>
      <c r="F348" s="27"/>
      <c r="G348" s="28"/>
      <c r="H348" s="19"/>
      <c r="I348" s="23"/>
      <c r="J348" s="82">
        <f t="shared" si="48"/>
        <v>0</v>
      </c>
      <c r="K348" s="30"/>
      <c r="L348" s="83" t="str">
        <f t="shared" si="49"/>
        <v/>
      </c>
      <c r="M348" s="23"/>
      <c r="Q348" s="12"/>
      <c r="S348"/>
    </row>
    <row r="349" spans="1:19" x14ac:dyDescent="0.25">
      <c r="A349" s="12" t="str">
        <f t="shared" si="47"/>
        <v/>
      </c>
      <c r="B349" s="16"/>
      <c r="C349" s="17"/>
      <c r="D349" s="18"/>
      <c r="E349" s="29"/>
      <c r="F349" s="39"/>
      <c r="G349" s="40"/>
      <c r="H349" s="41"/>
      <c r="I349" s="42"/>
      <c r="J349" s="82">
        <f t="shared" si="48"/>
        <v>0</v>
      </c>
      <c r="K349" s="43"/>
      <c r="L349" s="83" t="str">
        <f t="shared" si="49"/>
        <v/>
      </c>
      <c r="M349" s="53"/>
      <c r="Q349" s="12"/>
      <c r="S349"/>
    </row>
    <row r="350" spans="1:19" x14ac:dyDescent="0.25">
      <c r="A350" s="12" t="str">
        <f t="shared" si="47"/>
        <v/>
      </c>
      <c r="B350" s="16"/>
      <c r="C350" s="17"/>
      <c r="D350" s="18"/>
      <c r="E350" s="29"/>
      <c r="F350" s="27"/>
      <c r="G350" s="28"/>
      <c r="H350" s="19"/>
      <c r="I350" s="23"/>
      <c r="J350" s="82">
        <f t="shared" si="48"/>
        <v>0</v>
      </c>
      <c r="K350" s="30"/>
      <c r="L350" s="83" t="str">
        <f t="shared" si="49"/>
        <v/>
      </c>
      <c r="M350" s="23"/>
      <c r="Q350" s="12"/>
      <c r="S350"/>
    </row>
    <row r="351" spans="1:19" x14ac:dyDescent="0.25">
      <c r="A351" s="12" t="str">
        <f t="shared" si="47"/>
        <v/>
      </c>
      <c r="B351" s="16"/>
      <c r="C351" s="17"/>
      <c r="D351" s="18"/>
      <c r="E351" s="29"/>
      <c r="F351" s="39"/>
      <c r="G351" s="40"/>
      <c r="H351" s="41"/>
      <c r="I351" s="42"/>
      <c r="J351" s="82">
        <f t="shared" si="48"/>
        <v>0</v>
      </c>
      <c r="K351" s="43"/>
      <c r="L351" s="83" t="str">
        <f t="shared" si="49"/>
        <v/>
      </c>
      <c r="M351" s="53"/>
      <c r="Q351" s="12"/>
      <c r="S351"/>
    </row>
    <row r="352" spans="1:19" x14ac:dyDescent="0.25">
      <c r="A352" s="12" t="str">
        <f t="shared" si="47"/>
        <v/>
      </c>
      <c r="B352" s="16"/>
      <c r="C352" s="17"/>
      <c r="D352" s="18"/>
      <c r="E352" s="29"/>
      <c r="F352" s="27"/>
      <c r="G352" s="28"/>
      <c r="H352" s="19"/>
      <c r="I352" s="23"/>
      <c r="J352" s="82">
        <f t="shared" si="48"/>
        <v>0</v>
      </c>
      <c r="K352" s="30"/>
      <c r="L352" s="83" t="str">
        <f t="shared" si="49"/>
        <v/>
      </c>
      <c r="M352" s="23"/>
      <c r="Q352" s="12"/>
      <c r="S352"/>
    </row>
    <row r="353" spans="1:19" x14ac:dyDescent="0.25">
      <c r="A353" s="12" t="str">
        <f t="shared" si="47"/>
        <v/>
      </c>
      <c r="B353" s="16"/>
      <c r="C353" s="17"/>
      <c r="D353" s="18"/>
      <c r="E353" s="29"/>
      <c r="F353" s="39"/>
      <c r="G353" s="40"/>
      <c r="H353" s="41"/>
      <c r="I353" s="42"/>
      <c r="J353" s="82">
        <f t="shared" si="48"/>
        <v>0</v>
      </c>
      <c r="K353" s="43"/>
      <c r="L353" s="83" t="str">
        <f t="shared" si="49"/>
        <v/>
      </c>
      <c r="M353" s="53"/>
      <c r="Q353" s="12"/>
      <c r="S353"/>
    </row>
    <row r="354" spans="1:19" x14ac:dyDescent="0.25">
      <c r="A354" s="12" t="str">
        <f t="shared" si="47"/>
        <v/>
      </c>
      <c r="B354" s="16"/>
      <c r="C354" s="17"/>
      <c r="D354" s="18"/>
      <c r="E354" s="29"/>
      <c r="F354" s="27"/>
      <c r="G354" s="28"/>
      <c r="H354" s="19"/>
      <c r="I354" s="23"/>
      <c r="J354" s="82">
        <f t="shared" si="48"/>
        <v>0</v>
      </c>
      <c r="K354" s="30"/>
      <c r="L354" s="83" t="str">
        <f t="shared" si="49"/>
        <v/>
      </c>
      <c r="M354" s="23"/>
      <c r="Q354" s="12"/>
      <c r="S354"/>
    </row>
    <row r="355" spans="1:19" x14ac:dyDescent="0.25">
      <c r="A355" s="12" t="str">
        <f t="shared" si="47"/>
        <v/>
      </c>
      <c r="B355" s="16"/>
      <c r="C355" s="17"/>
      <c r="D355" s="18"/>
      <c r="E355" s="29"/>
      <c r="F355" s="39"/>
      <c r="G355" s="40"/>
      <c r="H355" s="41"/>
      <c r="I355" s="42"/>
      <c r="J355" s="82">
        <f t="shared" si="48"/>
        <v>0</v>
      </c>
      <c r="K355" s="43"/>
      <c r="L355" s="83" t="str">
        <f t="shared" si="49"/>
        <v/>
      </c>
      <c r="M355" s="53"/>
      <c r="Q355" s="12"/>
      <c r="S355"/>
    </row>
    <row r="356" spans="1:19" x14ac:dyDescent="0.25">
      <c r="A356" s="12" t="str">
        <f t="shared" si="47"/>
        <v/>
      </c>
      <c r="B356" s="16"/>
      <c r="C356" s="17"/>
      <c r="D356" s="18"/>
      <c r="E356" s="29"/>
      <c r="F356" s="27"/>
      <c r="G356" s="28"/>
      <c r="H356" s="19"/>
      <c r="I356" s="23"/>
      <c r="J356" s="82">
        <f t="shared" si="48"/>
        <v>0</v>
      </c>
      <c r="K356" s="30"/>
      <c r="L356" s="83" t="str">
        <f t="shared" si="49"/>
        <v/>
      </c>
      <c r="M356" s="23"/>
      <c r="Q356" s="12"/>
      <c r="S356"/>
    </row>
    <row r="357" spans="1:19" x14ac:dyDescent="0.25">
      <c r="A357" s="12" t="str">
        <f t="shared" si="47"/>
        <v/>
      </c>
      <c r="B357" s="16"/>
      <c r="C357" s="17"/>
      <c r="D357" s="18"/>
      <c r="E357" s="29"/>
      <c r="F357" s="39"/>
      <c r="G357" s="40"/>
      <c r="H357" s="41"/>
      <c r="I357" s="42"/>
      <c r="J357" s="82">
        <f t="shared" si="48"/>
        <v>0</v>
      </c>
      <c r="K357" s="43"/>
      <c r="L357" s="83" t="str">
        <f t="shared" si="49"/>
        <v/>
      </c>
      <c r="M357" s="53"/>
      <c r="Q357" s="12"/>
      <c r="S357"/>
    </row>
    <row r="358" spans="1:19" x14ac:dyDescent="0.25">
      <c r="A358" s="12" t="str">
        <f t="shared" si="47"/>
        <v/>
      </c>
      <c r="B358" s="16"/>
      <c r="C358" s="17"/>
      <c r="D358" s="18"/>
      <c r="E358" s="29"/>
      <c r="F358" s="27"/>
      <c r="G358" s="28"/>
      <c r="H358" s="19"/>
      <c r="I358" s="23"/>
      <c r="J358" s="82">
        <f t="shared" si="48"/>
        <v>0</v>
      </c>
      <c r="K358" s="30"/>
      <c r="L358" s="83" t="str">
        <f t="shared" si="49"/>
        <v/>
      </c>
      <c r="M358" s="23"/>
      <c r="Q358" s="12"/>
      <c r="S358"/>
    </row>
    <row r="359" spans="1:19" x14ac:dyDescent="0.25">
      <c r="A359" s="12" t="str">
        <f t="shared" si="47"/>
        <v/>
      </c>
      <c r="B359" s="16"/>
      <c r="C359" s="17"/>
      <c r="D359" s="18"/>
      <c r="E359" s="29"/>
      <c r="F359" s="39"/>
      <c r="G359" s="40"/>
      <c r="H359" s="41"/>
      <c r="I359" s="42"/>
      <c r="J359" s="82">
        <f t="shared" si="48"/>
        <v>0</v>
      </c>
      <c r="K359" s="43"/>
      <c r="L359" s="83" t="str">
        <f t="shared" si="49"/>
        <v/>
      </c>
      <c r="M359" s="53"/>
      <c r="Q359" s="12"/>
      <c r="S359"/>
    </row>
    <row r="360" spans="1:19" x14ac:dyDescent="0.25">
      <c r="A360" s="12" t="str">
        <f t="shared" si="47"/>
        <v/>
      </c>
      <c r="B360" s="16"/>
      <c r="C360" s="17"/>
      <c r="D360" s="18"/>
      <c r="E360" s="29"/>
      <c r="F360" s="27"/>
      <c r="G360" s="28"/>
      <c r="H360" s="19"/>
      <c r="I360" s="23"/>
      <c r="J360" s="82">
        <f t="shared" si="48"/>
        <v>0</v>
      </c>
      <c r="K360" s="30"/>
      <c r="L360" s="83" t="str">
        <f t="shared" si="49"/>
        <v/>
      </c>
      <c r="M360" s="23"/>
      <c r="Q360" s="12"/>
      <c r="S360"/>
    </row>
    <row r="361" spans="1:19" x14ac:dyDescent="0.25">
      <c r="A361" s="12" t="str">
        <f t="shared" si="47"/>
        <v/>
      </c>
      <c r="B361" s="16"/>
      <c r="C361" s="17"/>
      <c r="D361" s="18"/>
      <c r="E361" s="29"/>
      <c r="F361" s="39"/>
      <c r="G361" s="40"/>
      <c r="H361" s="41"/>
      <c r="I361" s="42"/>
      <c r="J361" s="82">
        <f t="shared" si="48"/>
        <v>0</v>
      </c>
      <c r="K361" s="43"/>
      <c r="L361" s="83" t="str">
        <f t="shared" si="49"/>
        <v/>
      </c>
      <c r="M361" s="53"/>
      <c r="Q361" s="12"/>
      <c r="S361"/>
    </row>
    <row r="362" spans="1:19" x14ac:dyDescent="0.25">
      <c r="A362" s="12" t="str">
        <f t="shared" si="47"/>
        <v/>
      </c>
      <c r="B362" s="16"/>
      <c r="C362" s="17"/>
      <c r="D362" s="18"/>
      <c r="E362" s="29"/>
      <c r="F362" s="27"/>
      <c r="G362" s="28"/>
      <c r="H362" s="19"/>
      <c r="I362" s="23"/>
      <c r="J362" s="82">
        <f t="shared" si="48"/>
        <v>0</v>
      </c>
      <c r="K362" s="30"/>
      <c r="L362" s="83" t="str">
        <f t="shared" si="49"/>
        <v/>
      </c>
      <c r="M362" s="23"/>
      <c r="Q362" s="12"/>
      <c r="S362"/>
    </row>
    <row r="363" spans="1:19" x14ac:dyDescent="0.25">
      <c r="A363" s="12" t="str">
        <f t="shared" si="47"/>
        <v/>
      </c>
      <c r="B363" s="16"/>
      <c r="C363" s="17"/>
      <c r="D363" s="18"/>
      <c r="E363" s="29"/>
      <c r="F363" s="39"/>
      <c r="G363" s="40"/>
      <c r="H363" s="41"/>
      <c r="I363" s="42"/>
      <c r="J363" s="82">
        <f t="shared" si="48"/>
        <v>0</v>
      </c>
      <c r="K363" s="43"/>
      <c r="L363" s="83" t="str">
        <f t="shared" si="49"/>
        <v/>
      </c>
      <c r="M363" s="53"/>
      <c r="Q363" s="12"/>
      <c r="S363"/>
    </row>
    <row r="364" spans="1:19" x14ac:dyDescent="0.25">
      <c r="A364" s="12" t="str">
        <f t="shared" si="47"/>
        <v/>
      </c>
      <c r="B364" s="16"/>
      <c r="C364" s="17"/>
      <c r="D364" s="18"/>
      <c r="E364" s="29"/>
      <c r="F364" s="27"/>
      <c r="G364" s="28"/>
      <c r="H364" s="19"/>
      <c r="I364" s="23"/>
      <c r="J364" s="82">
        <f t="shared" si="48"/>
        <v>0</v>
      </c>
      <c r="K364" s="30"/>
      <c r="L364" s="83" t="str">
        <f t="shared" si="49"/>
        <v/>
      </c>
      <c r="M364" s="23"/>
      <c r="Q364" s="12"/>
      <c r="S364"/>
    </row>
    <row r="365" spans="1:19" x14ac:dyDescent="0.25">
      <c r="A365" s="12" t="str">
        <f t="shared" si="47"/>
        <v/>
      </c>
      <c r="B365" s="16"/>
      <c r="C365" s="17"/>
      <c r="D365" s="18"/>
      <c r="E365" s="29"/>
      <c r="F365" s="39"/>
      <c r="G365" s="40"/>
      <c r="H365" s="41"/>
      <c r="I365" s="42"/>
      <c r="J365" s="82">
        <f t="shared" si="48"/>
        <v>0</v>
      </c>
      <c r="K365" s="43"/>
      <c r="L365" s="83" t="str">
        <f t="shared" si="49"/>
        <v/>
      </c>
      <c r="M365" s="53"/>
      <c r="Q365" s="12"/>
      <c r="S365"/>
    </row>
    <row r="366" spans="1:19" x14ac:dyDescent="0.25">
      <c r="A366" s="12" t="str">
        <f t="shared" si="47"/>
        <v/>
      </c>
      <c r="B366" s="16"/>
      <c r="C366" s="17"/>
      <c r="D366" s="18"/>
      <c r="E366" s="29"/>
      <c r="F366" s="27"/>
      <c r="G366" s="28"/>
      <c r="H366" s="19"/>
      <c r="I366" s="23"/>
      <c r="J366" s="82">
        <f t="shared" si="48"/>
        <v>0</v>
      </c>
      <c r="K366" s="30"/>
      <c r="L366" s="83" t="str">
        <f t="shared" si="49"/>
        <v/>
      </c>
      <c r="M366" s="23"/>
      <c r="Q366" s="12"/>
      <c r="S366"/>
    </row>
    <row r="367" spans="1:19" x14ac:dyDescent="0.25">
      <c r="A367" s="12" t="str">
        <f t="shared" si="47"/>
        <v/>
      </c>
      <c r="B367" s="16"/>
      <c r="C367" s="17"/>
      <c r="D367" s="18"/>
      <c r="E367" s="29"/>
      <c r="F367" s="39"/>
      <c r="G367" s="40"/>
      <c r="H367" s="41"/>
      <c r="I367" s="42"/>
      <c r="J367" s="82">
        <f t="shared" si="48"/>
        <v>0</v>
      </c>
      <c r="K367" s="43"/>
      <c r="L367" s="83" t="str">
        <f t="shared" si="49"/>
        <v/>
      </c>
      <c r="M367" s="53"/>
      <c r="Q367" s="12"/>
      <c r="S367"/>
    </row>
    <row r="368" spans="1:19" x14ac:dyDescent="0.25">
      <c r="A368" s="12" t="str">
        <f t="shared" si="47"/>
        <v/>
      </c>
      <c r="B368" s="16"/>
      <c r="C368" s="17"/>
      <c r="D368" s="18"/>
      <c r="E368" s="29"/>
      <c r="F368" s="27"/>
      <c r="G368" s="28"/>
      <c r="H368" s="19"/>
      <c r="I368" s="23"/>
      <c r="J368" s="82">
        <f t="shared" si="48"/>
        <v>0</v>
      </c>
      <c r="K368" s="30"/>
      <c r="L368" s="83" t="str">
        <f t="shared" si="49"/>
        <v/>
      </c>
      <c r="M368" s="23"/>
      <c r="Q368" s="12"/>
      <c r="S368"/>
    </row>
    <row r="369" spans="1:19" x14ac:dyDescent="0.25">
      <c r="A369" s="12" t="str">
        <f t="shared" si="47"/>
        <v/>
      </c>
      <c r="B369" s="16"/>
      <c r="C369" s="17"/>
      <c r="D369" s="18"/>
      <c r="E369" s="29"/>
      <c r="F369" s="39"/>
      <c r="G369" s="40"/>
      <c r="H369" s="41"/>
      <c r="I369" s="42"/>
      <c r="J369" s="82">
        <f t="shared" si="48"/>
        <v>0</v>
      </c>
      <c r="K369" s="43"/>
      <c r="L369" s="83" t="str">
        <f t="shared" si="49"/>
        <v/>
      </c>
      <c r="M369" s="53"/>
      <c r="Q369" s="12"/>
      <c r="S369"/>
    </row>
    <row r="370" spans="1:19" x14ac:dyDescent="0.25">
      <c r="A370" s="12" t="str">
        <f t="shared" si="47"/>
        <v/>
      </c>
      <c r="B370" s="16"/>
      <c r="C370" s="17"/>
      <c r="D370" s="18"/>
      <c r="E370" s="29"/>
      <c r="F370" s="27"/>
      <c r="G370" s="28"/>
      <c r="H370" s="19"/>
      <c r="I370" s="23"/>
      <c r="J370" s="82">
        <f t="shared" si="48"/>
        <v>0</v>
      </c>
      <c r="K370" s="30"/>
      <c r="L370" s="83" t="str">
        <f t="shared" si="49"/>
        <v/>
      </c>
      <c r="M370" s="23"/>
      <c r="Q370" s="12"/>
      <c r="S370"/>
    </row>
    <row r="371" spans="1:19" x14ac:dyDescent="0.25">
      <c r="A371" s="12" t="str">
        <f t="shared" si="47"/>
        <v/>
      </c>
      <c r="B371" s="16"/>
      <c r="C371" s="17"/>
      <c r="D371" s="18"/>
      <c r="E371" s="29"/>
      <c r="F371" s="39"/>
      <c r="G371" s="40"/>
      <c r="H371" s="41"/>
      <c r="I371" s="42"/>
      <c r="J371" s="82">
        <f t="shared" si="48"/>
        <v>0</v>
      </c>
      <c r="K371" s="43"/>
      <c r="L371" s="83" t="str">
        <f t="shared" si="49"/>
        <v/>
      </c>
      <c r="M371" s="53"/>
      <c r="Q371" s="12"/>
      <c r="S371"/>
    </row>
    <row r="372" spans="1:19" x14ac:dyDescent="0.25">
      <c r="A372" s="12" t="str">
        <f t="shared" ref="A372:A435" si="50">IFERROR(DATE(B372,C372,D372),"")</f>
        <v/>
      </c>
      <c r="B372" s="16"/>
      <c r="C372" s="17"/>
      <c r="D372" s="18"/>
      <c r="E372" s="29"/>
      <c r="F372" s="27"/>
      <c r="G372" s="28"/>
      <c r="H372" s="19"/>
      <c r="I372" s="23"/>
      <c r="J372" s="82">
        <f t="shared" ref="J372:J435" si="51">IF(E372="entrada",H372*I372,H372*I372*-1)</f>
        <v>0</v>
      </c>
      <c r="K372" s="30"/>
      <c r="L372" s="83" t="str">
        <f t="shared" ref="L372:L435" si="52">IF(J372=0,"",SUM(L371,J372))</f>
        <v/>
      </c>
      <c r="M372" s="23"/>
      <c r="Q372" s="12"/>
      <c r="S372"/>
    </row>
    <row r="373" spans="1:19" x14ac:dyDescent="0.25">
      <c r="A373" s="12" t="str">
        <f t="shared" si="50"/>
        <v/>
      </c>
      <c r="B373" s="16"/>
      <c r="C373" s="17"/>
      <c r="D373" s="18"/>
      <c r="E373" s="29"/>
      <c r="F373" s="39"/>
      <c r="G373" s="40"/>
      <c r="H373" s="41"/>
      <c r="I373" s="42"/>
      <c r="J373" s="82">
        <f t="shared" si="51"/>
        <v>0</v>
      </c>
      <c r="K373" s="43"/>
      <c r="L373" s="83" t="str">
        <f t="shared" si="52"/>
        <v/>
      </c>
      <c r="M373" s="53"/>
      <c r="Q373" s="12"/>
      <c r="S373"/>
    </row>
    <row r="374" spans="1:19" x14ac:dyDescent="0.25">
      <c r="A374" s="12" t="str">
        <f t="shared" si="50"/>
        <v/>
      </c>
      <c r="B374" s="16"/>
      <c r="C374" s="17"/>
      <c r="D374" s="18"/>
      <c r="E374" s="29"/>
      <c r="F374" s="27"/>
      <c r="G374" s="28"/>
      <c r="H374" s="19"/>
      <c r="I374" s="23"/>
      <c r="J374" s="82">
        <f t="shared" si="51"/>
        <v>0</v>
      </c>
      <c r="K374" s="30"/>
      <c r="L374" s="83" t="str">
        <f t="shared" si="52"/>
        <v/>
      </c>
      <c r="M374" s="23"/>
      <c r="Q374" s="12"/>
      <c r="S374"/>
    </row>
    <row r="375" spans="1:19" x14ac:dyDescent="0.25">
      <c r="A375" s="12" t="str">
        <f t="shared" si="50"/>
        <v/>
      </c>
      <c r="B375" s="16"/>
      <c r="C375" s="17"/>
      <c r="D375" s="18"/>
      <c r="E375" s="29"/>
      <c r="F375" s="39"/>
      <c r="G375" s="40"/>
      <c r="H375" s="41"/>
      <c r="I375" s="42"/>
      <c r="J375" s="82">
        <f t="shared" si="51"/>
        <v>0</v>
      </c>
      <c r="K375" s="43"/>
      <c r="L375" s="83" t="str">
        <f t="shared" si="52"/>
        <v/>
      </c>
      <c r="M375" s="53"/>
      <c r="Q375" s="12"/>
      <c r="S375"/>
    </row>
    <row r="376" spans="1:19" x14ac:dyDescent="0.25">
      <c r="A376" s="12" t="str">
        <f t="shared" si="50"/>
        <v/>
      </c>
      <c r="B376" s="16"/>
      <c r="C376" s="17"/>
      <c r="D376" s="18"/>
      <c r="E376" s="29"/>
      <c r="F376" s="27"/>
      <c r="G376" s="28"/>
      <c r="H376" s="19"/>
      <c r="I376" s="23"/>
      <c r="J376" s="82">
        <f t="shared" si="51"/>
        <v>0</v>
      </c>
      <c r="K376" s="30"/>
      <c r="L376" s="83" t="str">
        <f t="shared" si="52"/>
        <v/>
      </c>
      <c r="M376" s="23"/>
      <c r="Q376" s="12"/>
      <c r="S376"/>
    </row>
    <row r="377" spans="1:19" x14ac:dyDescent="0.25">
      <c r="A377" s="12" t="str">
        <f t="shared" si="50"/>
        <v/>
      </c>
      <c r="B377" s="16"/>
      <c r="C377" s="17"/>
      <c r="D377" s="18"/>
      <c r="E377" s="29"/>
      <c r="F377" s="39"/>
      <c r="G377" s="40"/>
      <c r="H377" s="41"/>
      <c r="I377" s="42"/>
      <c r="J377" s="82">
        <f t="shared" si="51"/>
        <v>0</v>
      </c>
      <c r="K377" s="43"/>
      <c r="L377" s="83" t="str">
        <f t="shared" si="52"/>
        <v/>
      </c>
      <c r="M377" s="53"/>
      <c r="Q377" s="12"/>
      <c r="S377"/>
    </row>
    <row r="378" spans="1:19" x14ac:dyDescent="0.25">
      <c r="A378" s="12" t="str">
        <f t="shared" si="50"/>
        <v/>
      </c>
      <c r="B378" s="16"/>
      <c r="C378" s="17"/>
      <c r="D378" s="18"/>
      <c r="E378" s="29"/>
      <c r="F378" s="27"/>
      <c r="G378" s="28"/>
      <c r="H378" s="19"/>
      <c r="I378" s="23"/>
      <c r="J378" s="82">
        <f t="shared" si="51"/>
        <v>0</v>
      </c>
      <c r="K378" s="30"/>
      <c r="L378" s="83" t="str">
        <f t="shared" si="52"/>
        <v/>
      </c>
      <c r="M378" s="23"/>
      <c r="Q378" s="12"/>
      <c r="S378"/>
    </row>
    <row r="379" spans="1:19" x14ac:dyDescent="0.25">
      <c r="A379" s="12" t="str">
        <f t="shared" si="50"/>
        <v/>
      </c>
      <c r="B379" s="16"/>
      <c r="C379" s="17"/>
      <c r="D379" s="18"/>
      <c r="E379" s="29"/>
      <c r="F379" s="39"/>
      <c r="G379" s="40"/>
      <c r="H379" s="41"/>
      <c r="I379" s="42"/>
      <c r="J379" s="82">
        <f t="shared" si="51"/>
        <v>0</v>
      </c>
      <c r="K379" s="43"/>
      <c r="L379" s="83" t="str">
        <f t="shared" si="52"/>
        <v/>
      </c>
      <c r="M379" s="53"/>
      <c r="Q379" s="12"/>
      <c r="S379"/>
    </row>
    <row r="380" spans="1:19" x14ac:dyDescent="0.25">
      <c r="A380" s="12" t="str">
        <f t="shared" si="50"/>
        <v/>
      </c>
      <c r="B380" s="16"/>
      <c r="C380" s="17"/>
      <c r="D380" s="18"/>
      <c r="E380" s="29"/>
      <c r="F380" s="27"/>
      <c r="G380" s="28"/>
      <c r="H380" s="19"/>
      <c r="I380" s="23"/>
      <c r="J380" s="82">
        <f t="shared" si="51"/>
        <v>0</v>
      </c>
      <c r="K380" s="30"/>
      <c r="L380" s="83" t="str">
        <f t="shared" si="52"/>
        <v/>
      </c>
      <c r="M380" s="23"/>
      <c r="Q380" s="12"/>
      <c r="S380"/>
    </row>
    <row r="381" spans="1:19" x14ac:dyDescent="0.25">
      <c r="A381" s="12" t="str">
        <f t="shared" si="50"/>
        <v/>
      </c>
      <c r="B381" s="16"/>
      <c r="C381" s="17"/>
      <c r="D381" s="18"/>
      <c r="E381" s="29"/>
      <c r="F381" s="39"/>
      <c r="G381" s="40"/>
      <c r="H381" s="41"/>
      <c r="I381" s="42"/>
      <c r="J381" s="82">
        <f t="shared" si="51"/>
        <v>0</v>
      </c>
      <c r="K381" s="43"/>
      <c r="L381" s="83" t="str">
        <f t="shared" si="52"/>
        <v/>
      </c>
      <c r="M381" s="53"/>
      <c r="Q381" s="12"/>
      <c r="S381"/>
    </row>
    <row r="382" spans="1:19" x14ac:dyDescent="0.25">
      <c r="A382" s="12" t="str">
        <f t="shared" si="50"/>
        <v/>
      </c>
      <c r="B382" s="16"/>
      <c r="C382" s="17"/>
      <c r="D382" s="18"/>
      <c r="E382" s="29"/>
      <c r="F382" s="27"/>
      <c r="G382" s="28"/>
      <c r="H382" s="19"/>
      <c r="I382" s="23"/>
      <c r="J382" s="82">
        <f t="shared" si="51"/>
        <v>0</v>
      </c>
      <c r="K382" s="30"/>
      <c r="L382" s="83" t="str">
        <f t="shared" si="52"/>
        <v/>
      </c>
      <c r="M382" s="23"/>
      <c r="Q382" s="12"/>
      <c r="S382"/>
    </row>
    <row r="383" spans="1:19" x14ac:dyDescent="0.25">
      <c r="A383" s="12" t="str">
        <f t="shared" si="50"/>
        <v/>
      </c>
      <c r="B383" s="16"/>
      <c r="C383" s="17"/>
      <c r="D383" s="18"/>
      <c r="E383" s="29"/>
      <c r="F383" s="39"/>
      <c r="G383" s="40"/>
      <c r="H383" s="41"/>
      <c r="I383" s="42"/>
      <c r="J383" s="82">
        <f t="shared" si="51"/>
        <v>0</v>
      </c>
      <c r="K383" s="43"/>
      <c r="L383" s="83" t="str">
        <f t="shared" si="52"/>
        <v/>
      </c>
      <c r="M383" s="53"/>
      <c r="Q383" s="12"/>
      <c r="S383"/>
    </row>
    <row r="384" spans="1:19" x14ac:dyDescent="0.25">
      <c r="A384" s="12" t="str">
        <f t="shared" si="50"/>
        <v/>
      </c>
      <c r="B384" s="16"/>
      <c r="C384" s="17"/>
      <c r="D384" s="18"/>
      <c r="E384" s="29"/>
      <c r="F384" s="27"/>
      <c r="G384" s="28"/>
      <c r="H384" s="19"/>
      <c r="I384" s="23"/>
      <c r="J384" s="82">
        <f t="shared" si="51"/>
        <v>0</v>
      </c>
      <c r="K384" s="30"/>
      <c r="L384" s="83" t="str">
        <f t="shared" si="52"/>
        <v/>
      </c>
      <c r="M384" s="23"/>
      <c r="Q384" s="12"/>
      <c r="S384"/>
    </row>
    <row r="385" spans="1:19" x14ac:dyDescent="0.25">
      <c r="A385" s="12" t="str">
        <f t="shared" si="50"/>
        <v/>
      </c>
      <c r="B385" s="16"/>
      <c r="C385" s="17"/>
      <c r="D385" s="18"/>
      <c r="E385" s="29"/>
      <c r="F385" s="39"/>
      <c r="G385" s="40"/>
      <c r="H385" s="41"/>
      <c r="I385" s="42"/>
      <c r="J385" s="82">
        <f t="shared" si="51"/>
        <v>0</v>
      </c>
      <c r="K385" s="43"/>
      <c r="L385" s="83" t="str">
        <f t="shared" si="52"/>
        <v/>
      </c>
      <c r="M385" s="53"/>
      <c r="Q385" s="12"/>
      <c r="S385"/>
    </row>
    <row r="386" spans="1:19" x14ac:dyDescent="0.25">
      <c r="A386" s="12" t="str">
        <f t="shared" si="50"/>
        <v/>
      </c>
      <c r="B386" s="16"/>
      <c r="C386" s="17"/>
      <c r="D386" s="18"/>
      <c r="E386" s="29"/>
      <c r="F386" s="27"/>
      <c r="G386" s="28"/>
      <c r="H386" s="19"/>
      <c r="I386" s="23"/>
      <c r="J386" s="82">
        <f t="shared" si="51"/>
        <v>0</v>
      </c>
      <c r="K386" s="30"/>
      <c r="L386" s="83" t="str">
        <f t="shared" si="52"/>
        <v/>
      </c>
      <c r="M386" s="23"/>
      <c r="Q386" s="12"/>
      <c r="S386"/>
    </row>
    <row r="387" spans="1:19" x14ac:dyDescent="0.25">
      <c r="A387" s="12" t="str">
        <f t="shared" si="50"/>
        <v/>
      </c>
      <c r="B387" s="16"/>
      <c r="C387" s="17"/>
      <c r="D387" s="18"/>
      <c r="E387" s="29"/>
      <c r="F387" s="39"/>
      <c r="G387" s="40"/>
      <c r="H387" s="41"/>
      <c r="I387" s="42"/>
      <c r="J387" s="82">
        <f t="shared" si="51"/>
        <v>0</v>
      </c>
      <c r="K387" s="43"/>
      <c r="L387" s="83" t="str">
        <f t="shared" si="52"/>
        <v/>
      </c>
      <c r="M387" s="53"/>
      <c r="Q387" s="12"/>
      <c r="S387"/>
    </row>
    <row r="388" spans="1:19" x14ac:dyDescent="0.25">
      <c r="A388" s="12" t="str">
        <f t="shared" si="50"/>
        <v/>
      </c>
      <c r="B388" s="16"/>
      <c r="C388" s="17"/>
      <c r="D388" s="18"/>
      <c r="E388" s="29"/>
      <c r="F388" s="27"/>
      <c r="G388" s="28"/>
      <c r="H388" s="19"/>
      <c r="I388" s="23"/>
      <c r="J388" s="82">
        <f t="shared" si="51"/>
        <v>0</v>
      </c>
      <c r="K388" s="30"/>
      <c r="L388" s="83" t="str">
        <f t="shared" si="52"/>
        <v/>
      </c>
      <c r="M388" s="23"/>
      <c r="Q388" s="12"/>
      <c r="S388"/>
    </row>
    <row r="389" spans="1:19" x14ac:dyDescent="0.25">
      <c r="A389" s="12" t="str">
        <f t="shared" si="50"/>
        <v/>
      </c>
      <c r="B389" s="16"/>
      <c r="C389" s="17"/>
      <c r="D389" s="18"/>
      <c r="E389" s="29"/>
      <c r="F389" s="39"/>
      <c r="G389" s="40"/>
      <c r="H389" s="41"/>
      <c r="I389" s="42"/>
      <c r="J389" s="82">
        <f t="shared" si="51"/>
        <v>0</v>
      </c>
      <c r="K389" s="43"/>
      <c r="L389" s="83" t="str">
        <f t="shared" si="52"/>
        <v/>
      </c>
      <c r="M389" s="53"/>
      <c r="Q389" s="12"/>
      <c r="S389"/>
    </row>
    <row r="390" spans="1:19" x14ac:dyDescent="0.25">
      <c r="A390" s="12" t="str">
        <f t="shared" si="50"/>
        <v/>
      </c>
      <c r="B390" s="16"/>
      <c r="C390" s="17"/>
      <c r="D390" s="18"/>
      <c r="E390" s="29"/>
      <c r="F390" s="27"/>
      <c r="G390" s="28"/>
      <c r="H390" s="19"/>
      <c r="I390" s="23"/>
      <c r="J390" s="82">
        <f t="shared" si="51"/>
        <v>0</v>
      </c>
      <c r="K390" s="30"/>
      <c r="L390" s="83" t="str">
        <f t="shared" si="52"/>
        <v/>
      </c>
      <c r="M390" s="23"/>
      <c r="Q390" s="12"/>
      <c r="S390"/>
    </row>
    <row r="391" spans="1:19" x14ac:dyDescent="0.25">
      <c r="A391" s="12" t="str">
        <f t="shared" si="50"/>
        <v/>
      </c>
      <c r="B391" s="16"/>
      <c r="C391" s="17"/>
      <c r="D391" s="18"/>
      <c r="E391" s="29"/>
      <c r="F391" s="39"/>
      <c r="G391" s="40"/>
      <c r="H391" s="41"/>
      <c r="I391" s="42"/>
      <c r="J391" s="82">
        <f t="shared" si="51"/>
        <v>0</v>
      </c>
      <c r="K391" s="43"/>
      <c r="L391" s="83" t="str">
        <f t="shared" si="52"/>
        <v/>
      </c>
      <c r="M391" s="53"/>
      <c r="Q391" s="12"/>
      <c r="S391"/>
    </row>
    <row r="392" spans="1:19" x14ac:dyDescent="0.25">
      <c r="A392" s="12" t="str">
        <f t="shared" si="50"/>
        <v/>
      </c>
      <c r="B392" s="16"/>
      <c r="C392" s="17"/>
      <c r="D392" s="18"/>
      <c r="E392" s="29"/>
      <c r="F392" s="27"/>
      <c r="G392" s="28"/>
      <c r="H392" s="19"/>
      <c r="I392" s="23"/>
      <c r="J392" s="82">
        <f t="shared" si="51"/>
        <v>0</v>
      </c>
      <c r="K392" s="30"/>
      <c r="L392" s="83" t="str">
        <f t="shared" si="52"/>
        <v/>
      </c>
      <c r="M392" s="23"/>
      <c r="Q392" s="12"/>
      <c r="S392"/>
    </row>
    <row r="393" spans="1:19" x14ac:dyDescent="0.25">
      <c r="A393" s="12" t="str">
        <f t="shared" si="50"/>
        <v/>
      </c>
      <c r="B393" s="16"/>
      <c r="C393" s="17"/>
      <c r="D393" s="18"/>
      <c r="E393" s="29"/>
      <c r="F393" s="39"/>
      <c r="G393" s="40"/>
      <c r="H393" s="41"/>
      <c r="I393" s="42"/>
      <c r="J393" s="82">
        <f t="shared" si="51"/>
        <v>0</v>
      </c>
      <c r="K393" s="43"/>
      <c r="L393" s="83" t="str">
        <f t="shared" si="52"/>
        <v/>
      </c>
      <c r="M393" s="53"/>
      <c r="Q393" s="12"/>
      <c r="S393"/>
    </row>
    <row r="394" spans="1:19" x14ac:dyDescent="0.25">
      <c r="A394" s="12" t="str">
        <f t="shared" si="50"/>
        <v/>
      </c>
      <c r="B394" s="16"/>
      <c r="C394" s="17"/>
      <c r="D394" s="18"/>
      <c r="E394" s="29"/>
      <c r="F394" s="27"/>
      <c r="G394" s="28"/>
      <c r="H394" s="19"/>
      <c r="I394" s="23"/>
      <c r="J394" s="82">
        <f t="shared" si="51"/>
        <v>0</v>
      </c>
      <c r="K394" s="30"/>
      <c r="L394" s="83" t="str">
        <f t="shared" si="52"/>
        <v/>
      </c>
      <c r="M394" s="23"/>
      <c r="Q394" s="12"/>
      <c r="S394"/>
    </row>
    <row r="395" spans="1:19" x14ac:dyDescent="0.25">
      <c r="A395" s="12" t="str">
        <f t="shared" si="50"/>
        <v/>
      </c>
      <c r="B395" s="16"/>
      <c r="C395" s="17"/>
      <c r="D395" s="18"/>
      <c r="E395" s="29"/>
      <c r="F395" s="39"/>
      <c r="G395" s="40"/>
      <c r="H395" s="41"/>
      <c r="I395" s="42"/>
      <c r="J395" s="82">
        <f t="shared" si="51"/>
        <v>0</v>
      </c>
      <c r="K395" s="43"/>
      <c r="L395" s="83" t="str">
        <f t="shared" si="52"/>
        <v/>
      </c>
      <c r="M395" s="53"/>
      <c r="Q395" s="12"/>
      <c r="S395"/>
    </row>
    <row r="396" spans="1:19" x14ac:dyDescent="0.25">
      <c r="A396" s="12" t="str">
        <f t="shared" si="50"/>
        <v/>
      </c>
      <c r="B396" s="16"/>
      <c r="C396" s="17"/>
      <c r="D396" s="18"/>
      <c r="E396" s="29"/>
      <c r="F396" s="27"/>
      <c r="G396" s="28"/>
      <c r="H396" s="19"/>
      <c r="I396" s="23"/>
      <c r="J396" s="82">
        <f t="shared" si="51"/>
        <v>0</v>
      </c>
      <c r="K396" s="30"/>
      <c r="L396" s="83" t="str">
        <f t="shared" si="52"/>
        <v/>
      </c>
      <c r="M396" s="23"/>
      <c r="Q396" s="12"/>
      <c r="S396"/>
    </row>
    <row r="397" spans="1:19" x14ac:dyDescent="0.25">
      <c r="A397" s="12" t="str">
        <f t="shared" si="50"/>
        <v/>
      </c>
      <c r="B397" s="16"/>
      <c r="C397" s="17"/>
      <c r="D397" s="18"/>
      <c r="E397" s="29"/>
      <c r="F397" s="39"/>
      <c r="G397" s="40"/>
      <c r="H397" s="41"/>
      <c r="I397" s="42"/>
      <c r="J397" s="82">
        <f t="shared" si="51"/>
        <v>0</v>
      </c>
      <c r="K397" s="43"/>
      <c r="L397" s="83" t="str">
        <f t="shared" si="52"/>
        <v/>
      </c>
      <c r="M397" s="53"/>
      <c r="Q397" s="12"/>
      <c r="S397"/>
    </row>
    <row r="398" spans="1:19" x14ac:dyDescent="0.25">
      <c r="A398" s="12" t="str">
        <f t="shared" si="50"/>
        <v/>
      </c>
      <c r="B398" s="16"/>
      <c r="C398" s="17"/>
      <c r="D398" s="18"/>
      <c r="E398" s="29"/>
      <c r="F398" s="27"/>
      <c r="G398" s="28"/>
      <c r="H398" s="19"/>
      <c r="I398" s="23"/>
      <c r="J398" s="82">
        <f t="shared" si="51"/>
        <v>0</v>
      </c>
      <c r="K398" s="30"/>
      <c r="L398" s="83" t="str">
        <f t="shared" si="52"/>
        <v/>
      </c>
      <c r="M398" s="23"/>
      <c r="Q398" s="12"/>
      <c r="S398"/>
    </row>
    <row r="399" spans="1:19" x14ac:dyDescent="0.25">
      <c r="A399" s="12" t="str">
        <f t="shared" si="50"/>
        <v/>
      </c>
      <c r="B399" s="16"/>
      <c r="C399" s="17"/>
      <c r="D399" s="18"/>
      <c r="E399" s="29"/>
      <c r="F399" s="39"/>
      <c r="G399" s="40"/>
      <c r="H399" s="41"/>
      <c r="I399" s="42"/>
      <c r="J399" s="82">
        <f t="shared" si="51"/>
        <v>0</v>
      </c>
      <c r="K399" s="43"/>
      <c r="L399" s="83" t="str">
        <f t="shared" si="52"/>
        <v/>
      </c>
      <c r="M399" s="53"/>
      <c r="Q399" s="12"/>
      <c r="S399"/>
    </row>
    <row r="400" spans="1:19" x14ac:dyDescent="0.25">
      <c r="A400" s="12" t="str">
        <f t="shared" si="50"/>
        <v/>
      </c>
      <c r="B400" s="16"/>
      <c r="C400" s="17"/>
      <c r="D400" s="18"/>
      <c r="E400" s="29"/>
      <c r="F400" s="27"/>
      <c r="G400" s="28"/>
      <c r="H400" s="19"/>
      <c r="I400" s="23"/>
      <c r="J400" s="82">
        <f t="shared" si="51"/>
        <v>0</v>
      </c>
      <c r="K400" s="30"/>
      <c r="L400" s="83" t="str">
        <f t="shared" si="52"/>
        <v/>
      </c>
      <c r="M400" s="23"/>
      <c r="Q400" s="12"/>
      <c r="S400"/>
    </row>
    <row r="401" spans="1:19" x14ac:dyDescent="0.25">
      <c r="A401" s="12" t="str">
        <f t="shared" si="50"/>
        <v/>
      </c>
      <c r="B401" s="16"/>
      <c r="C401" s="17"/>
      <c r="D401" s="18"/>
      <c r="E401" s="29"/>
      <c r="F401" s="39"/>
      <c r="G401" s="40"/>
      <c r="H401" s="41"/>
      <c r="I401" s="42"/>
      <c r="J401" s="82">
        <f t="shared" si="51"/>
        <v>0</v>
      </c>
      <c r="K401" s="43"/>
      <c r="L401" s="83" t="str">
        <f t="shared" si="52"/>
        <v/>
      </c>
      <c r="M401" s="53"/>
      <c r="Q401" s="12"/>
      <c r="S401"/>
    </row>
    <row r="402" spans="1:19" x14ac:dyDescent="0.25">
      <c r="A402" s="12" t="str">
        <f t="shared" si="50"/>
        <v/>
      </c>
      <c r="B402" s="16"/>
      <c r="C402" s="17"/>
      <c r="D402" s="18"/>
      <c r="E402" s="29"/>
      <c r="F402" s="27"/>
      <c r="G402" s="28"/>
      <c r="H402" s="19"/>
      <c r="I402" s="23"/>
      <c r="J402" s="82">
        <f t="shared" si="51"/>
        <v>0</v>
      </c>
      <c r="K402" s="30"/>
      <c r="L402" s="83" t="str">
        <f t="shared" si="52"/>
        <v/>
      </c>
      <c r="M402" s="23"/>
      <c r="Q402" s="12"/>
      <c r="S402"/>
    </row>
    <row r="403" spans="1:19" x14ac:dyDescent="0.25">
      <c r="A403" s="12" t="str">
        <f t="shared" si="50"/>
        <v/>
      </c>
      <c r="B403" s="16"/>
      <c r="C403" s="17"/>
      <c r="D403" s="18"/>
      <c r="E403" s="29"/>
      <c r="F403" s="39"/>
      <c r="G403" s="40"/>
      <c r="H403" s="41"/>
      <c r="I403" s="42"/>
      <c r="J403" s="82">
        <f t="shared" si="51"/>
        <v>0</v>
      </c>
      <c r="K403" s="43"/>
      <c r="L403" s="83" t="str">
        <f t="shared" si="52"/>
        <v/>
      </c>
      <c r="M403" s="53"/>
      <c r="Q403" s="12"/>
      <c r="S403"/>
    </row>
    <row r="404" spans="1:19" x14ac:dyDescent="0.25">
      <c r="A404" s="12" t="str">
        <f t="shared" si="50"/>
        <v/>
      </c>
      <c r="B404" s="16"/>
      <c r="C404" s="17"/>
      <c r="D404" s="18"/>
      <c r="E404" s="29"/>
      <c r="F404" s="27"/>
      <c r="G404" s="28"/>
      <c r="H404" s="19"/>
      <c r="I404" s="23"/>
      <c r="J404" s="82">
        <f t="shared" si="51"/>
        <v>0</v>
      </c>
      <c r="K404" s="30"/>
      <c r="L404" s="83" t="str">
        <f t="shared" si="52"/>
        <v/>
      </c>
      <c r="M404" s="23"/>
      <c r="Q404" s="12"/>
      <c r="S404"/>
    </row>
    <row r="405" spans="1:19" x14ac:dyDescent="0.25">
      <c r="A405" s="12" t="str">
        <f t="shared" si="50"/>
        <v/>
      </c>
      <c r="B405" s="16"/>
      <c r="C405" s="17"/>
      <c r="D405" s="18"/>
      <c r="E405" s="29"/>
      <c r="F405" s="39"/>
      <c r="G405" s="40"/>
      <c r="H405" s="41"/>
      <c r="I405" s="42"/>
      <c r="J405" s="82">
        <f t="shared" si="51"/>
        <v>0</v>
      </c>
      <c r="K405" s="43"/>
      <c r="L405" s="83" t="str">
        <f t="shared" si="52"/>
        <v/>
      </c>
      <c r="M405" s="53"/>
      <c r="Q405" s="12"/>
      <c r="S405"/>
    </row>
    <row r="406" spans="1:19" x14ac:dyDescent="0.25">
      <c r="A406" s="12" t="str">
        <f t="shared" si="50"/>
        <v/>
      </c>
      <c r="B406" s="16"/>
      <c r="C406" s="17"/>
      <c r="D406" s="18"/>
      <c r="E406" s="29"/>
      <c r="F406" s="27"/>
      <c r="G406" s="28"/>
      <c r="H406" s="19"/>
      <c r="I406" s="23"/>
      <c r="J406" s="82">
        <f t="shared" si="51"/>
        <v>0</v>
      </c>
      <c r="K406" s="30"/>
      <c r="L406" s="83" t="str">
        <f t="shared" si="52"/>
        <v/>
      </c>
      <c r="M406" s="23"/>
      <c r="Q406" s="12"/>
      <c r="S406"/>
    </row>
    <row r="407" spans="1:19" x14ac:dyDescent="0.25">
      <c r="A407" s="12" t="str">
        <f t="shared" si="50"/>
        <v/>
      </c>
      <c r="B407" s="16"/>
      <c r="C407" s="17"/>
      <c r="D407" s="18"/>
      <c r="E407" s="29"/>
      <c r="F407" s="39"/>
      <c r="G407" s="40"/>
      <c r="H407" s="41"/>
      <c r="I407" s="42"/>
      <c r="J407" s="82">
        <f t="shared" si="51"/>
        <v>0</v>
      </c>
      <c r="K407" s="43"/>
      <c r="L407" s="83" t="str">
        <f t="shared" si="52"/>
        <v/>
      </c>
      <c r="M407" s="53"/>
      <c r="Q407" s="12"/>
      <c r="S407"/>
    </row>
    <row r="408" spans="1:19" x14ac:dyDescent="0.25">
      <c r="A408" s="12" t="str">
        <f t="shared" si="50"/>
        <v/>
      </c>
      <c r="B408" s="16"/>
      <c r="C408" s="17"/>
      <c r="D408" s="18"/>
      <c r="E408" s="29"/>
      <c r="F408" s="27"/>
      <c r="G408" s="28"/>
      <c r="H408" s="19"/>
      <c r="I408" s="23"/>
      <c r="J408" s="82">
        <f t="shared" si="51"/>
        <v>0</v>
      </c>
      <c r="K408" s="30"/>
      <c r="L408" s="83" t="str">
        <f t="shared" si="52"/>
        <v/>
      </c>
      <c r="M408" s="23"/>
      <c r="Q408" s="12"/>
      <c r="S408"/>
    </row>
    <row r="409" spans="1:19" x14ac:dyDescent="0.25">
      <c r="A409" s="12" t="str">
        <f t="shared" si="50"/>
        <v/>
      </c>
      <c r="B409" s="16"/>
      <c r="C409" s="17"/>
      <c r="D409" s="18"/>
      <c r="E409" s="29"/>
      <c r="F409" s="39"/>
      <c r="G409" s="40"/>
      <c r="H409" s="41"/>
      <c r="I409" s="42"/>
      <c r="J409" s="82">
        <f t="shared" si="51"/>
        <v>0</v>
      </c>
      <c r="K409" s="43"/>
      <c r="L409" s="83" t="str">
        <f t="shared" si="52"/>
        <v/>
      </c>
      <c r="M409" s="53"/>
      <c r="Q409" s="12"/>
      <c r="S409"/>
    </row>
    <row r="410" spans="1:19" x14ac:dyDescent="0.25">
      <c r="A410" s="12" t="str">
        <f t="shared" si="50"/>
        <v/>
      </c>
      <c r="B410" s="16"/>
      <c r="C410" s="17"/>
      <c r="D410" s="18"/>
      <c r="E410" s="29"/>
      <c r="F410" s="27"/>
      <c r="G410" s="28"/>
      <c r="H410" s="19"/>
      <c r="I410" s="23"/>
      <c r="J410" s="82">
        <f t="shared" si="51"/>
        <v>0</v>
      </c>
      <c r="K410" s="30"/>
      <c r="L410" s="83" t="str">
        <f t="shared" si="52"/>
        <v/>
      </c>
      <c r="M410" s="23"/>
      <c r="Q410" s="12"/>
      <c r="S410"/>
    </row>
    <row r="411" spans="1:19" x14ac:dyDescent="0.25">
      <c r="A411" s="12" t="str">
        <f t="shared" si="50"/>
        <v/>
      </c>
      <c r="B411" s="16"/>
      <c r="C411" s="17"/>
      <c r="D411" s="18"/>
      <c r="E411" s="29"/>
      <c r="F411" s="39"/>
      <c r="G411" s="40"/>
      <c r="H411" s="41"/>
      <c r="I411" s="42"/>
      <c r="J411" s="82">
        <f t="shared" si="51"/>
        <v>0</v>
      </c>
      <c r="K411" s="43"/>
      <c r="L411" s="83" t="str">
        <f t="shared" si="52"/>
        <v/>
      </c>
      <c r="M411" s="53"/>
      <c r="Q411" s="12"/>
      <c r="S411"/>
    </row>
    <row r="412" spans="1:19" x14ac:dyDescent="0.25">
      <c r="A412" s="12" t="str">
        <f t="shared" si="50"/>
        <v/>
      </c>
      <c r="B412" s="16"/>
      <c r="C412" s="17"/>
      <c r="D412" s="18"/>
      <c r="E412" s="29"/>
      <c r="F412" s="27"/>
      <c r="G412" s="28"/>
      <c r="H412" s="19"/>
      <c r="I412" s="23"/>
      <c r="J412" s="82">
        <f t="shared" si="51"/>
        <v>0</v>
      </c>
      <c r="K412" s="30"/>
      <c r="L412" s="83" t="str">
        <f t="shared" si="52"/>
        <v/>
      </c>
      <c r="M412" s="23"/>
      <c r="Q412" s="12"/>
      <c r="S412"/>
    </row>
    <row r="413" spans="1:19" x14ac:dyDescent="0.25">
      <c r="A413" s="12" t="str">
        <f t="shared" si="50"/>
        <v/>
      </c>
      <c r="B413" s="16"/>
      <c r="C413" s="17"/>
      <c r="D413" s="18"/>
      <c r="E413" s="29"/>
      <c r="F413" s="39"/>
      <c r="G413" s="40"/>
      <c r="H413" s="41"/>
      <c r="I413" s="42"/>
      <c r="J413" s="82">
        <f t="shared" si="51"/>
        <v>0</v>
      </c>
      <c r="K413" s="43"/>
      <c r="L413" s="83" t="str">
        <f t="shared" si="52"/>
        <v/>
      </c>
      <c r="M413" s="53"/>
      <c r="Q413" s="12"/>
      <c r="S413"/>
    </row>
    <row r="414" spans="1:19" x14ac:dyDescent="0.25">
      <c r="A414" s="12" t="str">
        <f t="shared" si="50"/>
        <v/>
      </c>
      <c r="B414" s="16"/>
      <c r="C414" s="17"/>
      <c r="D414" s="18"/>
      <c r="E414" s="29"/>
      <c r="F414" s="27"/>
      <c r="G414" s="28"/>
      <c r="H414" s="19"/>
      <c r="I414" s="23"/>
      <c r="J414" s="82">
        <f t="shared" si="51"/>
        <v>0</v>
      </c>
      <c r="K414" s="30"/>
      <c r="L414" s="83" t="str">
        <f t="shared" si="52"/>
        <v/>
      </c>
      <c r="M414" s="23"/>
      <c r="Q414" s="12"/>
      <c r="S414"/>
    </row>
    <row r="415" spans="1:19" x14ac:dyDescent="0.25">
      <c r="A415" s="12" t="str">
        <f t="shared" si="50"/>
        <v/>
      </c>
      <c r="B415" s="16"/>
      <c r="C415" s="17"/>
      <c r="D415" s="18"/>
      <c r="E415" s="29"/>
      <c r="F415" s="39"/>
      <c r="G415" s="40"/>
      <c r="H415" s="41"/>
      <c r="I415" s="42"/>
      <c r="J415" s="82">
        <f t="shared" si="51"/>
        <v>0</v>
      </c>
      <c r="K415" s="43"/>
      <c r="L415" s="83" t="str">
        <f t="shared" si="52"/>
        <v/>
      </c>
      <c r="M415" s="53"/>
      <c r="Q415" s="12"/>
      <c r="S415"/>
    </row>
    <row r="416" spans="1:19" x14ac:dyDescent="0.25">
      <c r="A416" s="12" t="str">
        <f t="shared" si="50"/>
        <v/>
      </c>
      <c r="B416" s="16"/>
      <c r="C416" s="17"/>
      <c r="D416" s="18"/>
      <c r="E416" s="29"/>
      <c r="F416" s="27"/>
      <c r="G416" s="28"/>
      <c r="H416" s="19"/>
      <c r="I416" s="23"/>
      <c r="J416" s="82">
        <f t="shared" si="51"/>
        <v>0</v>
      </c>
      <c r="K416" s="30"/>
      <c r="L416" s="83" t="str">
        <f t="shared" si="52"/>
        <v/>
      </c>
      <c r="M416" s="23"/>
      <c r="Q416" s="12"/>
      <c r="S416"/>
    </row>
    <row r="417" spans="1:19" x14ac:dyDescent="0.25">
      <c r="A417" s="12" t="str">
        <f t="shared" si="50"/>
        <v/>
      </c>
      <c r="B417" s="16"/>
      <c r="C417" s="17"/>
      <c r="D417" s="18"/>
      <c r="E417" s="29"/>
      <c r="F417" s="39"/>
      <c r="G417" s="40"/>
      <c r="H417" s="41"/>
      <c r="I417" s="42"/>
      <c r="J417" s="82">
        <f t="shared" si="51"/>
        <v>0</v>
      </c>
      <c r="K417" s="43"/>
      <c r="L417" s="83" t="str">
        <f t="shared" si="52"/>
        <v/>
      </c>
      <c r="M417" s="53"/>
      <c r="Q417" s="12"/>
      <c r="S417"/>
    </row>
    <row r="418" spans="1:19" x14ac:dyDescent="0.25">
      <c r="A418" s="12" t="str">
        <f t="shared" si="50"/>
        <v/>
      </c>
      <c r="B418" s="16"/>
      <c r="C418" s="17"/>
      <c r="D418" s="18"/>
      <c r="E418" s="29"/>
      <c r="F418" s="27"/>
      <c r="G418" s="28"/>
      <c r="H418" s="19"/>
      <c r="I418" s="23"/>
      <c r="J418" s="82">
        <f t="shared" si="51"/>
        <v>0</v>
      </c>
      <c r="K418" s="30"/>
      <c r="L418" s="83" t="str">
        <f t="shared" si="52"/>
        <v/>
      </c>
      <c r="M418" s="23"/>
      <c r="Q418" s="12"/>
      <c r="S418"/>
    </row>
    <row r="419" spans="1:19" x14ac:dyDescent="0.25">
      <c r="A419" s="12" t="str">
        <f t="shared" si="50"/>
        <v/>
      </c>
      <c r="B419" s="16"/>
      <c r="C419" s="17"/>
      <c r="D419" s="18"/>
      <c r="E419" s="29"/>
      <c r="F419" s="39"/>
      <c r="G419" s="40"/>
      <c r="H419" s="41"/>
      <c r="I419" s="42"/>
      <c r="J419" s="82">
        <f t="shared" si="51"/>
        <v>0</v>
      </c>
      <c r="K419" s="43"/>
      <c r="L419" s="83" t="str">
        <f t="shared" si="52"/>
        <v/>
      </c>
      <c r="M419" s="53"/>
      <c r="Q419" s="12"/>
      <c r="S419"/>
    </row>
    <row r="420" spans="1:19" x14ac:dyDescent="0.25">
      <c r="A420" s="12" t="str">
        <f t="shared" si="50"/>
        <v/>
      </c>
      <c r="B420" s="16"/>
      <c r="C420" s="17"/>
      <c r="D420" s="18"/>
      <c r="E420" s="29"/>
      <c r="F420" s="27"/>
      <c r="G420" s="28"/>
      <c r="H420" s="19"/>
      <c r="I420" s="23"/>
      <c r="J420" s="82">
        <f t="shared" si="51"/>
        <v>0</v>
      </c>
      <c r="K420" s="30"/>
      <c r="L420" s="83" t="str">
        <f t="shared" si="52"/>
        <v/>
      </c>
      <c r="M420" s="23"/>
      <c r="Q420" s="12"/>
      <c r="S420"/>
    </row>
    <row r="421" spans="1:19" x14ac:dyDescent="0.25">
      <c r="A421" s="12" t="str">
        <f t="shared" si="50"/>
        <v/>
      </c>
      <c r="B421" s="16"/>
      <c r="C421" s="17"/>
      <c r="D421" s="18"/>
      <c r="E421" s="29"/>
      <c r="F421" s="39"/>
      <c r="G421" s="40"/>
      <c r="H421" s="41"/>
      <c r="I421" s="42"/>
      <c r="J421" s="82">
        <f t="shared" si="51"/>
        <v>0</v>
      </c>
      <c r="K421" s="43"/>
      <c r="L421" s="83" t="str">
        <f t="shared" si="52"/>
        <v/>
      </c>
      <c r="M421" s="53"/>
      <c r="Q421" s="12"/>
      <c r="S421"/>
    </row>
    <row r="422" spans="1:19" x14ac:dyDescent="0.25">
      <c r="A422" s="12" t="str">
        <f t="shared" si="50"/>
        <v/>
      </c>
      <c r="B422" s="16"/>
      <c r="C422" s="17"/>
      <c r="D422" s="18"/>
      <c r="E422" s="29"/>
      <c r="F422" s="27"/>
      <c r="G422" s="28"/>
      <c r="H422" s="19"/>
      <c r="I422" s="23"/>
      <c r="J422" s="82">
        <f t="shared" si="51"/>
        <v>0</v>
      </c>
      <c r="K422" s="30"/>
      <c r="L422" s="83" t="str">
        <f t="shared" si="52"/>
        <v/>
      </c>
      <c r="M422" s="23"/>
      <c r="Q422" s="12"/>
      <c r="S422"/>
    </row>
    <row r="423" spans="1:19" x14ac:dyDescent="0.25">
      <c r="A423" s="12" t="str">
        <f t="shared" si="50"/>
        <v/>
      </c>
      <c r="B423" s="16"/>
      <c r="C423" s="17"/>
      <c r="D423" s="18"/>
      <c r="E423" s="29"/>
      <c r="F423" s="39"/>
      <c r="G423" s="40"/>
      <c r="H423" s="41"/>
      <c r="I423" s="42"/>
      <c r="J423" s="82">
        <f t="shared" si="51"/>
        <v>0</v>
      </c>
      <c r="K423" s="43"/>
      <c r="L423" s="83" t="str">
        <f t="shared" si="52"/>
        <v/>
      </c>
      <c r="M423" s="53"/>
      <c r="Q423" s="12"/>
      <c r="S423"/>
    </row>
    <row r="424" spans="1:19" x14ac:dyDescent="0.25">
      <c r="A424" s="12" t="str">
        <f t="shared" si="50"/>
        <v/>
      </c>
      <c r="B424" s="16"/>
      <c r="C424" s="17"/>
      <c r="D424" s="18"/>
      <c r="E424" s="29"/>
      <c r="F424" s="27"/>
      <c r="G424" s="28"/>
      <c r="H424" s="19"/>
      <c r="I424" s="23"/>
      <c r="J424" s="82">
        <f t="shared" si="51"/>
        <v>0</v>
      </c>
      <c r="K424" s="30"/>
      <c r="L424" s="83" t="str">
        <f t="shared" si="52"/>
        <v/>
      </c>
      <c r="M424" s="23"/>
      <c r="Q424" s="12"/>
      <c r="S424"/>
    </row>
    <row r="425" spans="1:19" x14ac:dyDescent="0.25">
      <c r="A425" s="12" t="str">
        <f t="shared" si="50"/>
        <v/>
      </c>
      <c r="B425" s="16"/>
      <c r="C425" s="17"/>
      <c r="D425" s="18"/>
      <c r="E425" s="29"/>
      <c r="F425" s="39"/>
      <c r="G425" s="40"/>
      <c r="H425" s="41"/>
      <c r="I425" s="42"/>
      <c r="J425" s="82">
        <f t="shared" si="51"/>
        <v>0</v>
      </c>
      <c r="K425" s="43"/>
      <c r="L425" s="83" t="str">
        <f t="shared" si="52"/>
        <v/>
      </c>
      <c r="M425" s="53"/>
      <c r="Q425" s="12"/>
      <c r="S425"/>
    </row>
    <row r="426" spans="1:19" x14ac:dyDescent="0.25">
      <c r="A426" s="12" t="str">
        <f t="shared" si="50"/>
        <v/>
      </c>
      <c r="B426" s="16"/>
      <c r="C426" s="17"/>
      <c r="D426" s="18"/>
      <c r="E426" s="29"/>
      <c r="F426" s="27"/>
      <c r="G426" s="28"/>
      <c r="H426" s="19"/>
      <c r="I426" s="23"/>
      <c r="J426" s="82">
        <f t="shared" si="51"/>
        <v>0</v>
      </c>
      <c r="K426" s="30"/>
      <c r="L426" s="83" t="str">
        <f t="shared" si="52"/>
        <v/>
      </c>
      <c r="M426" s="23"/>
      <c r="Q426" s="12"/>
      <c r="S426"/>
    </row>
    <row r="427" spans="1:19" x14ac:dyDescent="0.25">
      <c r="A427" s="12" t="str">
        <f t="shared" si="50"/>
        <v/>
      </c>
      <c r="B427" s="16"/>
      <c r="C427" s="17"/>
      <c r="D427" s="18"/>
      <c r="E427" s="29"/>
      <c r="F427" s="39"/>
      <c r="G427" s="40"/>
      <c r="H427" s="41"/>
      <c r="I427" s="42"/>
      <c r="J427" s="82">
        <f t="shared" si="51"/>
        <v>0</v>
      </c>
      <c r="K427" s="43"/>
      <c r="L427" s="83" t="str">
        <f t="shared" si="52"/>
        <v/>
      </c>
      <c r="M427" s="53"/>
      <c r="Q427" s="12"/>
      <c r="S427"/>
    </row>
    <row r="428" spans="1:19" x14ac:dyDescent="0.25">
      <c r="A428" s="12" t="str">
        <f t="shared" si="50"/>
        <v/>
      </c>
      <c r="B428" s="16"/>
      <c r="C428" s="17"/>
      <c r="D428" s="18"/>
      <c r="E428" s="29"/>
      <c r="F428" s="27"/>
      <c r="G428" s="28"/>
      <c r="H428" s="19"/>
      <c r="I428" s="23"/>
      <c r="J428" s="82">
        <f t="shared" si="51"/>
        <v>0</v>
      </c>
      <c r="K428" s="30"/>
      <c r="L428" s="83" t="str">
        <f t="shared" si="52"/>
        <v/>
      </c>
      <c r="M428" s="23"/>
      <c r="Q428" s="12"/>
      <c r="S428"/>
    </row>
    <row r="429" spans="1:19" x14ac:dyDescent="0.25">
      <c r="A429" s="12" t="str">
        <f t="shared" si="50"/>
        <v/>
      </c>
      <c r="B429" s="16"/>
      <c r="C429" s="17"/>
      <c r="D429" s="18"/>
      <c r="E429" s="29"/>
      <c r="F429" s="39"/>
      <c r="G429" s="40"/>
      <c r="H429" s="41"/>
      <c r="I429" s="42"/>
      <c r="J429" s="82">
        <f t="shared" si="51"/>
        <v>0</v>
      </c>
      <c r="K429" s="43"/>
      <c r="L429" s="83" t="str">
        <f t="shared" si="52"/>
        <v/>
      </c>
      <c r="M429" s="53"/>
      <c r="Q429" s="12"/>
      <c r="S429"/>
    </row>
    <row r="430" spans="1:19" x14ac:dyDescent="0.25">
      <c r="A430" s="12" t="str">
        <f t="shared" si="50"/>
        <v/>
      </c>
      <c r="B430" s="16"/>
      <c r="C430" s="17"/>
      <c r="D430" s="18"/>
      <c r="E430" s="29"/>
      <c r="F430" s="27"/>
      <c r="G430" s="28"/>
      <c r="H430" s="19"/>
      <c r="I430" s="23"/>
      <c r="J430" s="82">
        <f t="shared" si="51"/>
        <v>0</v>
      </c>
      <c r="K430" s="30"/>
      <c r="L430" s="83" t="str">
        <f t="shared" si="52"/>
        <v/>
      </c>
      <c r="M430" s="23"/>
      <c r="Q430" s="12"/>
      <c r="S430"/>
    </row>
    <row r="431" spans="1:19" x14ac:dyDescent="0.25">
      <c r="A431" s="12" t="str">
        <f t="shared" si="50"/>
        <v/>
      </c>
      <c r="B431" s="16"/>
      <c r="C431" s="17"/>
      <c r="D431" s="18"/>
      <c r="E431" s="29"/>
      <c r="F431" s="39"/>
      <c r="G431" s="40"/>
      <c r="H431" s="41"/>
      <c r="I431" s="42"/>
      <c r="J431" s="82">
        <f t="shared" si="51"/>
        <v>0</v>
      </c>
      <c r="K431" s="43"/>
      <c r="L431" s="83" t="str">
        <f t="shared" si="52"/>
        <v/>
      </c>
      <c r="M431" s="53"/>
      <c r="Q431" s="12"/>
      <c r="S431"/>
    </row>
    <row r="432" spans="1:19" x14ac:dyDescent="0.25">
      <c r="A432" s="12" t="str">
        <f t="shared" si="50"/>
        <v/>
      </c>
      <c r="B432" s="16"/>
      <c r="C432" s="17"/>
      <c r="D432" s="18"/>
      <c r="E432" s="29"/>
      <c r="F432" s="27"/>
      <c r="G432" s="28"/>
      <c r="H432" s="19"/>
      <c r="I432" s="23"/>
      <c r="J432" s="82">
        <f t="shared" si="51"/>
        <v>0</v>
      </c>
      <c r="K432" s="30"/>
      <c r="L432" s="83" t="str">
        <f t="shared" si="52"/>
        <v/>
      </c>
      <c r="M432" s="23"/>
      <c r="Q432" s="12"/>
      <c r="S432"/>
    </row>
    <row r="433" spans="1:19" x14ac:dyDescent="0.25">
      <c r="A433" s="12" t="str">
        <f t="shared" si="50"/>
        <v/>
      </c>
      <c r="B433" s="16"/>
      <c r="C433" s="17"/>
      <c r="D433" s="18"/>
      <c r="E433" s="29"/>
      <c r="F433" s="39"/>
      <c r="G433" s="40"/>
      <c r="H433" s="41"/>
      <c r="I433" s="42"/>
      <c r="J433" s="82">
        <f t="shared" si="51"/>
        <v>0</v>
      </c>
      <c r="K433" s="43"/>
      <c r="L433" s="83" t="str">
        <f t="shared" si="52"/>
        <v/>
      </c>
      <c r="M433" s="53"/>
      <c r="Q433" s="12"/>
      <c r="S433"/>
    </row>
    <row r="434" spans="1:19" x14ac:dyDescent="0.25">
      <c r="A434" s="12" t="str">
        <f t="shared" si="50"/>
        <v/>
      </c>
      <c r="B434" s="16"/>
      <c r="C434" s="17"/>
      <c r="D434" s="18"/>
      <c r="E434" s="29"/>
      <c r="F434" s="27"/>
      <c r="G434" s="28"/>
      <c r="H434" s="19"/>
      <c r="I434" s="23"/>
      <c r="J434" s="82">
        <f t="shared" si="51"/>
        <v>0</v>
      </c>
      <c r="K434" s="30"/>
      <c r="L434" s="83" t="str">
        <f t="shared" si="52"/>
        <v/>
      </c>
      <c r="M434" s="23"/>
      <c r="Q434" s="12"/>
      <c r="S434"/>
    </row>
    <row r="435" spans="1:19" x14ac:dyDescent="0.25">
      <c r="A435" s="12" t="str">
        <f t="shared" si="50"/>
        <v/>
      </c>
      <c r="B435" s="16"/>
      <c r="C435" s="17"/>
      <c r="D435" s="18"/>
      <c r="E435" s="29"/>
      <c r="F435" s="39"/>
      <c r="G435" s="40"/>
      <c r="H435" s="41"/>
      <c r="I435" s="42"/>
      <c r="J435" s="82">
        <f t="shared" si="51"/>
        <v>0</v>
      </c>
      <c r="K435" s="43"/>
      <c r="L435" s="83" t="str">
        <f t="shared" si="52"/>
        <v/>
      </c>
      <c r="M435" s="53"/>
      <c r="Q435" s="12"/>
      <c r="S435"/>
    </row>
    <row r="436" spans="1:19" x14ac:dyDescent="0.25">
      <c r="A436" s="12" t="str">
        <f t="shared" ref="A436:A499" si="53">IFERROR(DATE(B436,C436,D436),"")</f>
        <v/>
      </c>
      <c r="B436" s="16"/>
      <c r="C436" s="17"/>
      <c r="D436" s="18"/>
      <c r="E436" s="29"/>
      <c r="F436" s="27"/>
      <c r="G436" s="28"/>
      <c r="H436" s="19"/>
      <c r="I436" s="23"/>
      <c r="J436" s="82">
        <f t="shared" ref="J436:J499" si="54">IF(E436="entrada",H436*I436,H436*I436*-1)</f>
        <v>0</v>
      </c>
      <c r="K436" s="30"/>
      <c r="L436" s="83" t="str">
        <f t="shared" ref="L436:L499" si="55">IF(J436=0,"",SUM(L435,J436))</f>
        <v/>
      </c>
      <c r="M436" s="23"/>
      <c r="Q436" s="12"/>
      <c r="S436"/>
    </row>
    <row r="437" spans="1:19" x14ac:dyDescent="0.25">
      <c r="A437" s="12" t="str">
        <f t="shared" si="53"/>
        <v/>
      </c>
      <c r="B437" s="16"/>
      <c r="C437" s="17"/>
      <c r="D437" s="18"/>
      <c r="E437" s="29"/>
      <c r="F437" s="39"/>
      <c r="G437" s="40"/>
      <c r="H437" s="41"/>
      <c r="I437" s="42"/>
      <c r="J437" s="82">
        <f t="shared" si="54"/>
        <v>0</v>
      </c>
      <c r="K437" s="43"/>
      <c r="L437" s="83" t="str">
        <f t="shared" si="55"/>
        <v/>
      </c>
      <c r="M437" s="53"/>
      <c r="Q437" s="12"/>
      <c r="S437"/>
    </row>
    <row r="438" spans="1:19" x14ac:dyDescent="0.25">
      <c r="A438" s="12" t="str">
        <f t="shared" si="53"/>
        <v/>
      </c>
      <c r="B438" s="16"/>
      <c r="C438" s="17"/>
      <c r="D438" s="18"/>
      <c r="E438" s="29"/>
      <c r="F438" s="27"/>
      <c r="G438" s="28"/>
      <c r="H438" s="19"/>
      <c r="I438" s="23"/>
      <c r="J438" s="82">
        <f t="shared" si="54"/>
        <v>0</v>
      </c>
      <c r="K438" s="30"/>
      <c r="L438" s="83" t="str">
        <f t="shared" si="55"/>
        <v/>
      </c>
      <c r="M438" s="23"/>
      <c r="Q438" s="12"/>
      <c r="S438"/>
    </row>
    <row r="439" spans="1:19" x14ac:dyDescent="0.25">
      <c r="A439" s="12" t="str">
        <f t="shared" si="53"/>
        <v/>
      </c>
      <c r="B439" s="16"/>
      <c r="C439" s="17"/>
      <c r="D439" s="18"/>
      <c r="E439" s="29"/>
      <c r="F439" s="39"/>
      <c r="G439" s="40"/>
      <c r="H439" s="41"/>
      <c r="I439" s="42"/>
      <c r="J439" s="82">
        <f t="shared" si="54"/>
        <v>0</v>
      </c>
      <c r="K439" s="43"/>
      <c r="L439" s="83" t="str">
        <f t="shared" si="55"/>
        <v/>
      </c>
      <c r="M439" s="53"/>
      <c r="Q439" s="12"/>
      <c r="S439"/>
    </row>
    <row r="440" spans="1:19" x14ac:dyDescent="0.25">
      <c r="A440" s="12" t="str">
        <f t="shared" si="53"/>
        <v/>
      </c>
      <c r="B440" s="16"/>
      <c r="C440" s="17"/>
      <c r="D440" s="18"/>
      <c r="E440" s="29"/>
      <c r="F440" s="27"/>
      <c r="G440" s="28"/>
      <c r="H440" s="19"/>
      <c r="I440" s="23"/>
      <c r="J440" s="82">
        <f t="shared" si="54"/>
        <v>0</v>
      </c>
      <c r="K440" s="30"/>
      <c r="L440" s="83" t="str">
        <f t="shared" si="55"/>
        <v/>
      </c>
      <c r="M440" s="23"/>
      <c r="Q440" s="12"/>
      <c r="S440"/>
    </row>
    <row r="441" spans="1:19" x14ac:dyDescent="0.25">
      <c r="A441" s="12" t="str">
        <f t="shared" si="53"/>
        <v/>
      </c>
      <c r="B441" s="16"/>
      <c r="C441" s="17"/>
      <c r="D441" s="18"/>
      <c r="E441" s="29"/>
      <c r="F441" s="39"/>
      <c r="G441" s="40"/>
      <c r="H441" s="41"/>
      <c r="I441" s="42"/>
      <c r="J441" s="82">
        <f t="shared" si="54"/>
        <v>0</v>
      </c>
      <c r="K441" s="43"/>
      <c r="L441" s="83" t="str">
        <f t="shared" si="55"/>
        <v/>
      </c>
      <c r="M441" s="53"/>
      <c r="Q441" s="12"/>
      <c r="S441"/>
    </row>
    <row r="442" spans="1:19" x14ac:dyDescent="0.25">
      <c r="A442" s="12" t="str">
        <f t="shared" si="53"/>
        <v/>
      </c>
      <c r="B442" s="16"/>
      <c r="C442" s="17"/>
      <c r="D442" s="18"/>
      <c r="E442" s="29"/>
      <c r="F442" s="27"/>
      <c r="G442" s="28"/>
      <c r="H442" s="19"/>
      <c r="I442" s="23"/>
      <c r="J442" s="82">
        <f t="shared" si="54"/>
        <v>0</v>
      </c>
      <c r="K442" s="30"/>
      <c r="L442" s="83" t="str">
        <f t="shared" si="55"/>
        <v/>
      </c>
      <c r="M442" s="23"/>
      <c r="Q442" s="12"/>
      <c r="S442"/>
    </row>
    <row r="443" spans="1:19" x14ac:dyDescent="0.25">
      <c r="A443" s="12" t="str">
        <f t="shared" si="53"/>
        <v/>
      </c>
      <c r="B443" s="16"/>
      <c r="C443" s="17"/>
      <c r="D443" s="18"/>
      <c r="E443" s="29"/>
      <c r="F443" s="39"/>
      <c r="G443" s="40"/>
      <c r="H443" s="41"/>
      <c r="I443" s="42"/>
      <c r="J443" s="82">
        <f t="shared" si="54"/>
        <v>0</v>
      </c>
      <c r="K443" s="43"/>
      <c r="L443" s="83" t="str">
        <f t="shared" si="55"/>
        <v/>
      </c>
      <c r="M443" s="53"/>
      <c r="Q443" s="12"/>
      <c r="S443"/>
    </row>
    <row r="444" spans="1:19" x14ac:dyDescent="0.25">
      <c r="A444" s="12" t="str">
        <f t="shared" si="53"/>
        <v/>
      </c>
      <c r="B444" s="16"/>
      <c r="C444" s="17"/>
      <c r="D444" s="18"/>
      <c r="E444" s="29"/>
      <c r="F444" s="27"/>
      <c r="G444" s="28"/>
      <c r="H444" s="19"/>
      <c r="I444" s="23"/>
      <c r="J444" s="82">
        <f t="shared" si="54"/>
        <v>0</v>
      </c>
      <c r="K444" s="30"/>
      <c r="L444" s="83" t="str">
        <f t="shared" si="55"/>
        <v/>
      </c>
      <c r="M444" s="23"/>
      <c r="Q444" s="12"/>
      <c r="S444"/>
    </row>
    <row r="445" spans="1:19" x14ac:dyDescent="0.25">
      <c r="A445" s="12" t="str">
        <f t="shared" si="53"/>
        <v/>
      </c>
      <c r="B445" s="16"/>
      <c r="C445" s="17"/>
      <c r="D445" s="18"/>
      <c r="E445" s="29"/>
      <c r="F445" s="39"/>
      <c r="G445" s="40"/>
      <c r="H445" s="41"/>
      <c r="I445" s="42"/>
      <c r="J445" s="82">
        <f t="shared" si="54"/>
        <v>0</v>
      </c>
      <c r="K445" s="43"/>
      <c r="L445" s="83" t="str">
        <f t="shared" si="55"/>
        <v/>
      </c>
      <c r="M445" s="53"/>
      <c r="Q445" s="12"/>
      <c r="S445"/>
    </row>
    <row r="446" spans="1:19" x14ac:dyDescent="0.25">
      <c r="A446" s="12" t="str">
        <f t="shared" si="53"/>
        <v/>
      </c>
      <c r="B446" s="16"/>
      <c r="C446" s="17"/>
      <c r="D446" s="18"/>
      <c r="E446" s="29"/>
      <c r="F446" s="27"/>
      <c r="G446" s="28"/>
      <c r="H446" s="19"/>
      <c r="I446" s="23"/>
      <c r="J446" s="82">
        <f t="shared" si="54"/>
        <v>0</v>
      </c>
      <c r="K446" s="30"/>
      <c r="L446" s="83" t="str">
        <f t="shared" si="55"/>
        <v/>
      </c>
      <c r="M446" s="23"/>
      <c r="Q446" s="12"/>
      <c r="S446"/>
    </row>
    <row r="447" spans="1:19" x14ac:dyDescent="0.25">
      <c r="A447" s="12" t="str">
        <f t="shared" si="53"/>
        <v/>
      </c>
      <c r="B447" s="16"/>
      <c r="C447" s="17"/>
      <c r="D447" s="18"/>
      <c r="E447" s="29"/>
      <c r="F447" s="39"/>
      <c r="G447" s="40"/>
      <c r="H447" s="41"/>
      <c r="I447" s="42"/>
      <c r="J447" s="82">
        <f t="shared" si="54"/>
        <v>0</v>
      </c>
      <c r="K447" s="43"/>
      <c r="L447" s="83" t="str">
        <f t="shared" si="55"/>
        <v/>
      </c>
      <c r="M447" s="53"/>
      <c r="Q447" s="12"/>
      <c r="S447"/>
    </row>
    <row r="448" spans="1:19" x14ac:dyDescent="0.25">
      <c r="A448" s="12" t="str">
        <f t="shared" si="53"/>
        <v/>
      </c>
      <c r="B448" s="16"/>
      <c r="C448" s="17"/>
      <c r="D448" s="18"/>
      <c r="E448" s="29"/>
      <c r="F448" s="27"/>
      <c r="G448" s="28"/>
      <c r="H448" s="19"/>
      <c r="I448" s="23"/>
      <c r="J448" s="82">
        <f t="shared" si="54"/>
        <v>0</v>
      </c>
      <c r="K448" s="30"/>
      <c r="L448" s="83" t="str">
        <f t="shared" si="55"/>
        <v/>
      </c>
      <c r="M448" s="23"/>
      <c r="Q448" s="12"/>
      <c r="S448"/>
    </row>
    <row r="449" spans="1:19" x14ac:dyDescent="0.25">
      <c r="A449" s="12" t="str">
        <f t="shared" si="53"/>
        <v/>
      </c>
      <c r="B449" s="16"/>
      <c r="C449" s="17"/>
      <c r="D449" s="18"/>
      <c r="E449" s="29"/>
      <c r="F449" s="39"/>
      <c r="G449" s="40"/>
      <c r="H449" s="41"/>
      <c r="I449" s="42"/>
      <c r="J449" s="82">
        <f t="shared" si="54"/>
        <v>0</v>
      </c>
      <c r="K449" s="43"/>
      <c r="L449" s="83" t="str">
        <f t="shared" si="55"/>
        <v/>
      </c>
      <c r="M449" s="53"/>
      <c r="Q449" s="12"/>
      <c r="S449"/>
    </row>
    <row r="450" spans="1:19" x14ac:dyDescent="0.25">
      <c r="A450" s="12" t="str">
        <f t="shared" si="53"/>
        <v/>
      </c>
      <c r="B450" s="16"/>
      <c r="C450" s="17"/>
      <c r="D450" s="18"/>
      <c r="E450" s="29"/>
      <c r="F450" s="27"/>
      <c r="G450" s="28"/>
      <c r="H450" s="19"/>
      <c r="I450" s="23"/>
      <c r="J450" s="82">
        <f t="shared" si="54"/>
        <v>0</v>
      </c>
      <c r="K450" s="30"/>
      <c r="L450" s="83" t="str">
        <f t="shared" si="55"/>
        <v/>
      </c>
      <c r="M450" s="23"/>
      <c r="Q450" s="12"/>
      <c r="S450"/>
    </row>
    <row r="451" spans="1:19" x14ac:dyDescent="0.25">
      <c r="A451" s="12" t="str">
        <f t="shared" si="53"/>
        <v/>
      </c>
      <c r="B451" s="16"/>
      <c r="C451" s="17"/>
      <c r="D451" s="18"/>
      <c r="E451" s="29"/>
      <c r="F451" s="39"/>
      <c r="G451" s="40"/>
      <c r="H451" s="41"/>
      <c r="I451" s="42"/>
      <c r="J451" s="82">
        <f t="shared" si="54"/>
        <v>0</v>
      </c>
      <c r="K451" s="43"/>
      <c r="L451" s="83" t="str">
        <f t="shared" si="55"/>
        <v/>
      </c>
      <c r="M451" s="53"/>
      <c r="Q451" s="12"/>
      <c r="S451"/>
    </row>
    <row r="452" spans="1:19" x14ac:dyDescent="0.25">
      <c r="A452" s="12" t="str">
        <f t="shared" si="53"/>
        <v/>
      </c>
      <c r="B452" s="16"/>
      <c r="C452" s="17"/>
      <c r="D452" s="18"/>
      <c r="E452" s="29"/>
      <c r="F452" s="27"/>
      <c r="G452" s="28"/>
      <c r="H452" s="19"/>
      <c r="I452" s="23"/>
      <c r="J452" s="82">
        <f t="shared" si="54"/>
        <v>0</v>
      </c>
      <c r="K452" s="30"/>
      <c r="L452" s="83" t="str">
        <f t="shared" si="55"/>
        <v/>
      </c>
      <c r="M452" s="23"/>
      <c r="Q452" s="12"/>
      <c r="S452"/>
    </row>
    <row r="453" spans="1:19" x14ac:dyDescent="0.25">
      <c r="A453" s="12" t="str">
        <f t="shared" si="53"/>
        <v/>
      </c>
      <c r="B453" s="16"/>
      <c r="C453" s="17"/>
      <c r="D453" s="18"/>
      <c r="E453" s="29"/>
      <c r="F453" s="39"/>
      <c r="G453" s="40"/>
      <c r="H453" s="41"/>
      <c r="I453" s="42"/>
      <c r="J453" s="82">
        <f t="shared" si="54"/>
        <v>0</v>
      </c>
      <c r="K453" s="43"/>
      <c r="L453" s="83" t="str">
        <f t="shared" si="55"/>
        <v/>
      </c>
      <c r="M453" s="53"/>
      <c r="Q453" s="12"/>
      <c r="S453"/>
    </row>
    <row r="454" spans="1:19" x14ac:dyDescent="0.25">
      <c r="A454" s="12" t="str">
        <f t="shared" si="53"/>
        <v/>
      </c>
      <c r="B454" s="16"/>
      <c r="C454" s="17"/>
      <c r="D454" s="18"/>
      <c r="E454" s="29"/>
      <c r="F454" s="27"/>
      <c r="G454" s="28"/>
      <c r="H454" s="19"/>
      <c r="I454" s="23"/>
      <c r="J454" s="82">
        <f t="shared" si="54"/>
        <v>0</v>
      </c>
      <c r="K454" s="30"/>
      <c r="L454" s="83" t="str">
        <f t="shared" si="55"/>
        <v/>
      </c>
      <c r="M454" s="23"/>
      <c r="Q454" s="12"/>
      <c r="S454"/>
    </row>
    <row r="455" spans="1:19" x14ac:dyDescent="0.25">
      <c r="A455" s="12" t="str">
        <f t="shared" si="53"/>
        <v/>
      </c>
      <c r="B455" s="16"/>
      <c r="C455" s="17"/>
      <c r="D455" s="18"/>
      <c r="E455" s="29"/>
      <c r="F455" s="39"/>
      <c r="G455" s="40"/>
      <c r="H455" s="41"/>
      <c r="I455" s="42"/>
      <c r="J455" s="82">
        <f t="shared" si="54"/>
        <v>0</v>
      </c>
      <c r="K455" s="43"/>
      <c r="L455" s="83" t="str">
        <f t="shared" si="55"/>
        <v/>
      </c>
      <c r="M455" s="53"/>
      <c r="Q455" s="12"/>
      <c r="S455"/>
    </row>
    <row r="456" spans="1:19" x14ac:dyDescent="0.25">
      <c r="A456" s="12" t="str">
        <f t="shared" si="53"/>
        <v/>
      </c>
      <c r="B456" s="16"/>
      <c r="C456" s="17"/>
      <c r="D456" s="18"/>
      <c r="E456" s="29"/>
      <c r="F456" s="27"/>
      <c r="G456" s="28"/>
      <c r="H456" s="19"/>
      <c r="I456" s="23"/>
      <c r="J456" s="82">
        <f t="shared" si="54"/>
        <v>0</v>
      </c>
      <c r="K456" s="30"/>
      <c r="L456" s="83" t="str">
        <f t="shared" si="55"/>
        <v/>
      </c>
      <c r="M456" s="23"/>
      <c r="Q456" s="12"/>
      <c r="S456"/>
    </row>
    <row r="457" spans="1:19" x14ac:dyDescent="0.25">
      <c r="A457" s="12" t="str">
        <f t="shared" si="53"/>
        <v/>
      </c>
      <c r="B457" s="16"/>
      <c r="C457" s="17"/>
      <c r="D457" s="18"/>
      <c r="E457" s="29"/>
      <c r="F457" s="39"/>
      <c r="G457" s="40"/>
      <c r="H457" s="41"/>
      <c r="I457" s="42"/>
      <c r="J457" s="82">
        <f t="shared" si="54"/>
        <v>0</v>
      </c>
      <c r="K457" s="43"/>
      <c r="L457" s="83" t="str">
        <f t="shared" si="55"/>
        <v/>
      </c>
      <c r="M457" s="53"/>
      <c r="Q457" s="12"/>
      <c r="S457"/>
    </row>
    <row r="458" spans="1:19" x14ac:dyDescent="0.25">
      <c r="A458" s="12" t="str">
        <f t="shared" si="53"/>
        <v/>
      </c>
      <c r="B458" s="16"/>
      <c r="C458" s="17"/>
      <c r="D458" s="18"/>
      <c r="E458" s="29"/>
      <c r="F458" s="27"/>
      <c r="G458" s="28"/>
      <c r="H458" s="19"/>
      <c r="I458" s="23"/>
      <c r="J458" s="82">
        <f t="shared" si="54"/>
        <v>0</v>
      </c>
      <c r="K458" s="30"/>
      <c r="L458" s="83" t="str">
        <f t="shared" si="55"/>
        <v/>
      </c>
      <c r="M458" s="23"/>
      <c r="Q458" s="12"/>
      <c r="S458"/>
    </row>
    <row r="459" spans="1:19" x14ac:dyDescent="0.25">
      <c r="A459" s="12" t="str">
        <f t="shared" si="53"/>
        <v/>
      </c>
      <c r="B459" s="16"/>
      <c r="C459" s="17"/>
      <c r="D459" s="18"/>
      <c r="E459" s="29"/>
      <c r="F459" s="39"/>
      <c r="G459" s="40"/>
      <c r="H459" s="41"/>
      <c r="I459" s="42"/>
      <c r="J459" s="82">
        <f t="shared" si="54"/>
        <v>0</v>
      </c>
      <c r="K459" s="43"/>
      <c r="L459" s="83" t="str">
        <f t="shared" si="55"/>
        <v/>
      </c>
      <c r="M459" s="53"/>
      <c r="Q459" s="12"/>
      <c r="S459"/>
    </row>
    <row r="460" spans="1:19" x14ac:dyDescent="0.25">
      <c r="A460" s="12" t="str">
        <f t="shared" si="53"/>
        <v/>
      </c>
      <c r="B460" s="16"/>
      <c r="C460" s="17"/>
      <c r="D460" s="18"/>
      <c r="E460" s="29"/>
      <c r="F460" s="27"/>
      <c r="G460" s="28"/>
      <c r="H460" s="19"/>
      <c r="I460" s="23"/>
      <c r="J460" s="82">
        <f t="shared" si="54"/>
        <v>0</v>
      </c>
      <c r="K460" s="30"/>
      <c r="L460" s="83" t="str">
        <f t="shared" si="55"/>
        <v/>
      </c>
      <c r="M460" s="23"/>
      <c r="Q460" s="12"/>
      <c r="S460"/>
    </row>
    <row r="461" spans="1:19" x14ac:dyDescent="0.25">
      <c r="A461" s="12" t="str">
        <f t="shared" si="53"/>
        <v/>
      </c>
      <c r="B461" s="16"/>
      <c r="C461" s="17"/>
      <c r="D461" s="18"/>
      <c r="E461" s="29"/>
      <c r="F461" s="39"/>
      <c r="G461" s="40"/>
      <c r="H461" s="41"/>
      <c r="I461" s="42"/>
      <c r="J461" s="82">
        <f t="shared" si="54"/>
        <v>0</v>
      </c>
      <c r="K461" s="43"/>
      <c r="L461" s="83" t="str">
        <f t="shared" si="55"/>
        <v/>
      </c>
      <c r="M461" s="53"/>
      <c r="Q461" s="12"/>
      <c r="S461"/>
    </row>
    <row r="462" spans="1:19" x14ac:dyDescent="0.25">
      <c r="A462" s="12" t="str">
        <f t="shared" si="53"/>
        <v/>
      </c>
      <c r="B462" s="16"/>
      <c r="C462" s="17"/>
      <c r="D462" s="18"/>
      <c r="E462" s="29"/>
      <c r="F462" s="27"/>
      <c r="G462" s="28"/>
      <c r="H462" s="19"/>
      <c r="I462" s="23"/>
      <c r="J462" s="82">
        <f t="shared" si="54"/>
        <v>0</v>
      </c>
      <c r="K462" s="30"/>
      <c r="L462" s="83" t="str">
        <f t="shared" si="55"/>
        <v/>
      </c>
      <c r="M462" s="23"/>
      <c r="Q462" s="12"/>
      <c r="S462"/>
    </row>
    <row r="463" spans="1:19" x14ac:dyDescent="0.25">
      <c r="A463" s="12" t="str">
        <f t="shared" si="53"/>
        <v/>
      </c>
      <c r="B463" s="16"/>
      <c r="C463" s="17"/>
      <c r="D463" s="18"/>
      <c r="E463" s="29"/>
      <c r="F463" s="39"/>
      <c r="G463" s="40"/>
      <c r="H463" s="41"/>
      <c r="I463" s="42"/>
      <c r="J463" s="82">
        <f t="shared" si="54"/>
        <v>0</v>
      </c>
      <c r="K463" s="43"/>
      <c r="L463" s="83" t="str">
        <f t="shared" si="55"/>
        <v/>
      </c>
      <c r="M463" s="53"/>
      <c r="Q463" s="12"/>
      <c r="S463"/>
    </row>
    <row r="464" spans="1:19" x14ac:dyDescent="0.25">
      <c r="A464" s="12" t="str">
        <f t="shared" si="53"/>
        <v/>
      </c>
      <c r="B464" s="16"/>
      <c r="C464" s="17"/>
      <c r="D464" s="18"/>
      <c r="E464" s="29"/>
      <c r="F464" s="27"/>
      <c r="G464" s="28"/>
      <c r="H464" s="19"/>
      <c r="I464" s="23"/>
      <c r="J464" s="82">
        <f t="shared" si="54"/>
        <v>0</v>
      </c>
      <c r="K464" s="30"/>
      <c r="L464" s="83" t="str">
        <f t="shared" si="55"/>
        <v/>
      </c>
      <c r="M464" s="23"/>
      <c r="Q464" s="12"/>
      <c r="S464"/>
    </row>
    <row r="465" spans="1:19" x14ac:dyDescent="0.25">
      <c r="A465" s="12" t="str">
        <f t="shared" si="53"/>
        <v/>
      </c>
      <c r="B465" s="16"/>
      <c r="C465" s="17"/>
      <c r="D465" s="18"/>
      <c r="E465" s="29"/>
      <c r="F465" s="39"/>
      <c r="G465" s="40"/>
      <c r="H465" s="41"/>
      <c r="I465" s="42"/>
      <c r="J465" s="82">
        <f t="shared" si="54"/>
        <v>0</v>
      </c>
      <c r="K465" s="43"/>
      <c r="L465" s="83" t="str">
        <f t="shared" si="55"/>
        <v/>
      </c>
      <c r="M465" s="53"/>
      <c r="Q465" s="12"/>
      <c r="S465"/>
    </row>
    <row r="466" spans="1:19" x14ac:dyDescent="0.25">
      <c r="A466" s="12" t="str">
        <f t="shared" si="53"/>
        <v/>
      </c>
      <c r="B466" s="16"/>
      <c r="C466" s="17"/>
      <c r="D466" s="18"/>
      <c r="E466" s="29"/>
      <c r="F466" s="27"/>
      <c r="G466" s="28"/>
      <c r="H466" s="19"/>
      <c r="I466" s="23"/>
      <c r="J466" s="82">
        <f t="shared" si="54"/>
        <v>0</v>
      </c>
      <c r="K466" s="30"/>
      <c r="L466" s="83" t="str">
        <f t="shared" si="55"/>
        <v/>
      </c>
      <c r="M466" s="23"/>
      <c r="Q466" s="12"/>
      <c r="S466"/>
    </row>
    <row r="467" spans="1:19" x14ac:dyDescent="0.25">
      <c r="A467" s="12" t="str">
        <f t="shared" si="53"/>
        <v/>
      </c>
      <c r="B467" s="16"/>
      <c r="C467" s="17"/>
      <c r="D467" s="18"/>
      <c r="E467" s="29"/>
      <c r="F467" s="39"/>
      <c r="G467" s="40"/>
      <c r="H467" s="41"/>
      <c r="I467" s="42"/>
      <c r="J467" s="82">
        <f t="shared" si="54"/>
        <v>0</v>
      </c>
      <c r="K467" s="43"/>
      <c r="L467" s="83" t="str">
        <f t="shared" si="55"/>
        <v/>
      </c>
      <c r="M467" s="53"/>
      <c r="Q467" s="12"/>
      <c r="S467"/>
    </row>
    <row r="468" spans="1:19" x14ac:dyDescent="0.25">
      <c r="A468" s="12" t="str">
        <f t="shared" si="53"/>
        <v/>
      </c>
      <c r="B468" s="16"/>
      <c r="C468" s="17"/>
      <c r="D468" s="18"/>
      <c r="E468" s="29"/>
      <c r="F468" s="27"/>
      <c r="G468" s="28"/>
      <c r="H468" s="19"/>
      <c r="I468" s="23"/>
      <c r="J468" s="82">
        <f t="shared" si="54"/>
        <v>0</v>
      </c>
      <c r="K468" s="30"/>
      <c r="L468" s="83" t="str">
        <f t="shared" si="55"/>
        <v/>
      </c>
      <c r="M468" s="23"/>
      <c r="Q468" s="12"/>
      <c r="S468"/>
    </row>
    <row r="469" spans="1:19" x14ac:dyDescent="0.25">
      <c r="A469" s="12" t="str">
        <f t="shared" si="53"/>
        <v/>
      </c>
      <c r="B469" s="16"/>
      <c r="C469" s="17"/>
      <c r="D469" s="18"/>
      <c r="E469" s="29"/>
      <c r="F469" s="39"/>
      <c r="G469" s="40"/>
      <c r="H469" s="41"/>
      <c r="I469" s="42"/>
      <c r="J469" s="82">
        <f t="shared" si="54"/>
        <v>0</v>
      </c>
      <c r="K469" s="43"/>
      <c r="L469" s="83" t="str">
        <f t="shared" si="55"/>
        <v/>
      </c>
      <c r="M469" s="53"/>
      <c r="Q469" s="12"/>
      <c r="S469"/>
    </row>
    <row r="470" spans="1:19" x14ac:dyDescent="0.25">
      <c r="A470" s="12" t="str">
        <f t="shared" si="53"/>
        <v/>
      </c>
      <c r="B470" s="16"/>
      <c r="C470" s="17"/>
      <c r="D470" s="18"/>
      <c r="E470" s="29"/>
      <c r="F470" s="27"/>
      <c r="G470" s="28"/>
      <c r="H470" s="19"/>
      <c r="I470" s="23"/>
      <c r="J470" s="82">
        <f t="shared" si="54"/>
        <v>0</v>
      </c>
      <c r="K470" s="30"/>
      <c r="L470" s="83" t="str">
        <f t="shared" si="55"/>
        <v/>
      </c>
      <c r="M470" s="23"/>
      <c r="Q470" s="12"/>
      <c r="S470"/>
    </row>
    <row r="471" spans="1:19" x14ac:dyDescent="0.25">
      <c r="A471" s="12" t="str">
        <f t="shared" si="53"/>
        <v/>
      </c>
      <c r="B471" s="16"/>
      <c r="C471" s="17"/>
      <c r="D471" s="18"/>
      <c r="E471" s="29"/>
      <c r="F471" s="39"/>
      <c r="G471" s="40"/>
      <c r="H471" s="41"/>
      <c r="I471" s="42"/>
      <c r="J471" s="82">
        <f t="shared" si="54"/>
        <v>0</v>
      </c>
      <c r="K471" s="43"/>
      <c r="L471" s="83" t="str">
        <f t="shared" si="55"/>
        <v/>
      </c>
      <c r="M471" s="53"/>
      <c r="Q471" s="12"/>
      <c r="S471"/>
    </row>
    <row r="472" spans="1:19" x14ac:dyDescent="0.25">
      <c r="A472" s="12" t="str">
        <f t="shared" si="53"/>
        <v/>
      </c>
      <c r="B472" s="16"/>
      <c r="C472" s="17"/>
      <c r="D472" s="18"/>
      <c r="E472" s="29"/>
      <c r="F472" s="27"/>
      <c r="G472" s="28"/>
      <c r="H472" s="19"/>
      <c r="I472" s="23"/>
      <c r="J472" s="82">
        <f t="shared" si="54"/>
        <v>0</v>
      </c>
      <c r="K472" s="30"/>
      <c r="L472" s="83" t="str">
        <f t="shared" si="55"/>
        <v/>
      </c>
      <c r="M472" s="23"/>
      <c r="Q472" s="12"/>
      <c r="S472"/>
    </row>
    <row r="473" spans="1:19" x14ac:dyDescent="0.25">
      <c r="A473" s="12" t="str">
        <f t="shared" si="53"/>
        <v/>
      </c>
      <c r="B473" s="16"/>
      <c r="C473" s="17"/>
      <c r="D473" s="18"/>
      <c r="E473" s="29"/>
      <c r="F473" s="39"/>
      <c r="G473" s="40"/>
      <c r="H473" s="41"/>
      <c r="I473" s="42"/>
      <c r="J473" s="82">
        <f t="shared" si="54"/>
        <v>0</v>
      </c>
      <c r="K473" s="43"/>
      <c r="L473" s="83" t="str">
        <f t="shared" si="55"/>
        <v/>
      </c>
      <c r="M473" s="53"/>
      <c r="Q473" s="12"/>
      <c r="S473"/>
    </row>
    <row r="474" spans="1:19" x14ac:dyDescent="0.25">
      <c r="A474" s="12" t="str">
        <f t="shared" si="53"/>
        <v/>
      </c>
      <c r="B474" s="16"/>
      <c r="C474" s="17"/>
      <c r="D474" s="18"/>
      <c r="E474" s="29"/>
      <c r="F474" s="27"/>
      <c r="G474" s="28"/>
      <c r="H474" s="19"/>
      <c r="I474" s="23"/>
      <c r="J474" s="82">
        <f t="shared" si="54"/>
        <v>0</v>
      </c>
      <c r="K474" s="30"/>
      <c r="L474" s="83" t="str">
        <f t="shared" si="55"/>
        <v/>
      </c>
      <c r="M474" s="23"/>
      <c r="Q474" s="12"/>
      <c r="S474"/>
    </row>
    <row r="475" spans="1:19" x14ac:dyDescent="0.25">
      <c r="A475" s="12" t="str">
        <f t="shared" si="53"/>
        <v/>
      </c>
      <c r="B475" s="16"/>
      <c r="C475" s="17"/>
      <c r="D475" s="18"/>
      <c r="E475" s="29"/>
      <c r="F475" s="39"/>
      <c r="G475" s="40"/>
      <c r="H475" s="41"/>
      <c r="I475" s="42"/>
      <c r="J475" s="82">
        <f t="shared" si="54"/>
        <v>0</v>
      </c>
      <c r="K475" s="43"/>
      <c r="L475" s="83" t="str">
        <f t="shared" si="55"/>
        <v/>
      </c>
      <c r="M475" s="53"/>
      <c r="Q475" s="12"/>
      <c r="S475"/>
    </row>
    <row r="476" spans="1:19" x14ac:dyDescent="0.25">
      <c r="A476" s="12" t="str">
        <f t="shared" si="53"/>
        <v/>
      </c>
      <c r="B476" s="16"/>
      <c r="C476" s="17"/>
      <c r="D476" s="18"/>
      <c r="E476" s="29"/>
      <c r="F476" s="27"/>
      <c r="G476" s="28"/>
      <c r="H476" s="19"/>
      <c r="I476" s="23"/>
      <c r="J476" s="82">
        <f t="shared" si="54"/>
        <v>0</v>
      </c>
      <c r="K476" s="30"/>
      <c r="L476" s="83" t="str">
        <f t="shared" si="55"/>
        <v/>
      </c>
      <c r="M476" s="23"/>
      <c r="Q476" s="12"/>
      <c r="S476"/>
    </row>
    <row r="477" spans="1:19" x14ac:dyDescent="0.25">
      <c r="A477" s="12" t="str">
        <f t="shared" si="53"/>
        <v/>
      </c>
      <c r="B477" s="16"/>
      <c r="C477" s="17"/>
      <c r="D477" s="18"/>
      <c r="E477" s="29"/>
      <c r="F477" s="39"/>
      <c r="G477" s="40"/>
      <c r="H477" s="41"/>
      <c r="I477" s="42"/>
      <c r="J477" s="82">
        <f t="shared" si="54"/>
        <v>0</v>
      </c>
      <c r="K477" s="43"/>
      <c r="L477" s="83" t="str">
        <f t="shared" si="55"/>
        <v/>
      </c>
      <c r="M477" s="53"/>
      <c r="Q477" s="12"/>
      <c r="S477"/>
    </row>
    <row r="478" spans="1:19" x14ac:dyDescent="0.25">
      <c r="A478" s="12" t="str">
        <f t="shared" si="53"/>
        <v/>
      </c>
      <c r="B478" s="16"/>
      <c r="C478" s="17"/>
      <c r="D478" s="18"/>
      <c r="E478" s="29"/>
      <c r="F478" s="27"/>
      <c r="G478" s="28"/>
      <c r="H478" s="19"/>
      <c r="I478" s="23"/>
      <c r="J478" s="82">
        <f t="shared" si="54"/>
        <v>0</v>
      </c>
      <c r="K478" s="30"/>
      <c r="L478" s="83" t="str">
        <f t="shared" si="55"/>
        <v/>
      </c>
      <c r="M478" s="23"/>
      <c r="Q478" s="12"/>
      <c r="S478"/>
    </row>
    <row r="479" spans="1:19" x14ac:dyDescent="0.25">
      <c r="A479" s="12" t="str">
        <f t="shared" si="53"/>
        <v/>
      </c>
      <c r="B479" s="16"/>
      <c r="C479" s="17"/>
      <c r="D479" s="18"/>
      <c r="E479" s="29"/>
      <c r="F479" s="39"/>
      <c r="G479" s="40"/>
      <c r="H479" s="41"/>
      <c r="I479" s="42"/>
      <c r="J479" s="82">
        <f t="shared" si="54"/>
        <v>0</v>
      </c>
      <c r="K479" s="43"/>
      <c r="L479" s="83" t="str">
        <f t="shared" si="55"/>
        <v/>
      </c>
      <c r="M479" s="53"/>
      <c r="Q479" s="12"/>
      <c r="S479"/>
    </row>
    <row r="480" spans="1:19" x14ac:dyDescent="0.25">
      <c r="A480" s="12" t="str">
        <f t="shared" si="53"/>
        <v/>
      </c>
      <c r="B480" s="16"/>
      <c r="C480" s="17"/>
      <c r="D480" s="18"/>
      <c r="E480" s="29"/>
      <c r="F480" s="27"/>
      <c r="G480" s="28"/>
      <c r="H480" s="19"/>
      <c r="I480" s="23"/>
      <c r="J480" s="82">
        <f t="shared" si="54"/>
        <v>0</v>
      </c>
      <c r="K480" s="30"/>
      <c r="L480" s="83" t="str">
        <f t="shared" si="55"/>
        <v/>
      </c>
      <c r="M480" s="23"/>
      <c r="Q480" s="12"/>
      <c r="S480"/>
    </row>
    <row r="481" spans="1:19" x14ac:dyDescent="0.25">
      <c r="A481" s="12" t="str">
        <f t="shared" si="53"/>
        <v/>
      </c>
      <c r="B481" s="16"/>
      <c r="C481" s="17"/>
      <c r="D481" s="18"/>
      <c r="E481" s="29"/>
      <c r="F481" s="39"/>
      <c r="G481" s="40"/>
      <c r="H481" s="41"/>
      <c r="I481" s="42"/>
      <c r="J481" s="82">
        <f t="shared" si="54"/>
        <v>0</v>
      </c>
      <c r="K481" s="43"/>
      <c r="L481" s="83" t="str">
        <f t="shared" si="55"/>
        <v/>
      </c>
      <c r="M481" s="53"/>
      <c r="Q481" s="12"/>
      <c r="S481"/>
    </row>
    <row r="482" spans="1:19" x14ac:dyDescent="0.25">
      <c r="A482" s="12" t="str">
        <f t="shared" si="53"/>
        <v/>
      </c>
      <c r="B482" s="16"/>
      <c r="C482" s="17"/>
      <c r="D482" s="18"/>
      <c r="E482" s="29"/>
      <c r="F482" s="27"/>
      <c r="G482" s="28"/>
      <c r="H482" s="19"/>
      <c r="I482" s="23"/>
      <c r="J482" s="82">
        <f t="shared" si="54"/>
        <v>0</v>
      </c>
      <c r="K482" s="30"/>
      <c r="L482" s="83" t="str">
        <f t="shared" si="55"/>
        <v/>
      </c>
      <c r="M482" s="23"/>
      <c r="Q482" s="12"/>
      <c r="S482"/>
    </row>
    <row r="483" spans="1:19" x14ac:dyDescent="0.25">
      <c r="A483" s="12" t="str">
        <f t="shared" si="53"/>
        <v/>
      </c>
      <c r="B483" s="16"/>
      <c r="C483" s="17"/>
      <c r="D483" s="18"/>
      <c r="E483" s="29"/>
      <c r="F483" s="39"/>
      <c r="G483" s="40"/>
      <c r="H483" s="41"/>
      <c r="I483" s="42"/>
      <c r="J483" s="82">
        <f t="shared" si="54"/>
        <v>0</v>
      </c>
      <c r="K483" s="43"/>
      <c r="L483" s="83" t="str">
        <f t="shared" si="55"/>
        <v/>
      </c>
      <c r="M483" s="53"/>
      <c r="Q483" s="12"/>
      <c r="S483"/>
    </row>
    <row r="484" spans="1:19" x14ac:dyDescent="0.25">
      <c r="A484" s="12" t="str">
        <f t="shared" si="53"/>
        <v/>
      </c>
      <c r="B484" s="16"/>
      <c r="C484" s="17"/>
      <c r="D484" s="18"/>
      <c r="E484" s="29"/>
      <c r="F484" s="27"/>
      <c r="G484" s="28"/>
      <c r="H484" s="19"/>
      <c r="I484" s="23"/>
      <c r="J484" s="82">
        <f t="shared" si="54"/>
        <v>0</v>
      </c>
      <c r="K484" s="30"/>
      <c r="L484" s="83" t="str">
        <f t="shared" si="55"/>
        <v/>
      </c>
      <c r="M484" s="23"/>
      <c r="Q484" s="12"/>
      <c r="S484"/>
    </row>
    <row r="485" spans="1:19" x14ac:dyDescent="0.25">
      <c r="A485" s="12" t="str">
        <f t="shared" si="53"/>
        <v/>
      </c>
      <c r="B485" s="16"/>
      <c r="C485" s="17"/>
      <c r="D485" s="18"/>
      <c r="E485" s="29"/>
      <c r="F485" s="39"/>
      <c r="G485" s="40"/>
      <c r="H485" s="41"/>
      <c r="I485" s="42"/>
      <c r="J485" s="82">
        <f t="shared" si="54"/>
        <v>0</v>
      </c>
      <c r="K485" s="43"/>
      <c r="L485" s="83" t="str">
        <f t="shared" si="55"/>
        <v/>
      </c>
      <c r="M485" s="53"/>
      <c r="Q485" s="12"/>
      <c r="S485"/>
    </row>
    <row r="486" spans="1:19" x14ac:dyDescent="0.25">
      <c r="A486" s="12" t="str">
        <f t="shared" si="53"/>
        <v/>
      </c>
      <c r="B486" s="16"/>
      <c r="C486" s="17"/>
      <c r="D486" s="18"/>
      <c r="E486" s="29"/>
      <c r="F486" s="27"/>
      <c r="G486" s="28"/>
      <c r="H486" s="19"/>
      <c r="I486" s="23"/>
      <c r="J486" s="82">
        <f t="shared" si="54"/>
        <v>0</v>
      </c>
      <c r="K486" s="30"/>
      <c r="L486" s="83" t="str">
        <f t="shared" si="55"/>
        <v/>
      </c>
      <c r="M486" s="23"/>
      <c r="Q486" s="12"/>
      <c r="S486"/>
    </row>
    <row r="487" spans="1:19" x14ac:dyDescent="0.25">
      <c r="A487" s="12" t="str">
        <f t="shared" si="53"/>
        <v/>
      </c>
      <c r="B487" s="16"/>
      <c r="C487" s="17"/>
      <c r="D487" s="18"/>
      <c r="E487" s="29"/>
      <c r="F487" s="39"/>
      <c r="G487" s="40"/>
      <c r="H487" s="41"/>
      <c r="I487" s="42"/>
      <c r="J487" s="82">
        <f t="shared" si="54"/>
        <v>0</v>
      </c>
      <c r="K487" s="43"/>
      <c r="L487" s="83" t="str">
        <f t="shared" si="55"/>
        <v/>
      </c>
      <c r="M487" s="53"/>
      <c r="Q487" s="12"/>
      <c r="S487"/>
    </row>
    <row r="488" spans="1:19" x14ac:dyDescent="0.25">
      <c r="A488" s="12" t="str">
        <f t="shared" si="53"/>
        <v/>
      </c>
      <c r="B488" s="16"/>
      <c r="C488" s="17"/>
      <c r="D488" s="18"/>
      <c r="E488" s="29"/>
      <c r="F488" s="27"/>
      <c r="G488" s="28"/>
      <c r="H488" s="19"/>
      <c r="I488" s="23"/>
      <c r="J488" s="82">
        <f t="shared" si="54"/>
        <v>0</v>
      </c>
      <c r="K488" s="30"/>
      <c r="L488" s="83" t="str">
        <f t="shared" si="55"/>
        <v/>
      </c>
      <c r="M488" s="23"/>
      <c r="Q488" s="12"/>
      <c r="S488"/>
    </row>
    <row r="489" spans="1:19" x14ac:dyDescent="0.25">
      <c r="A489" s="12" t="str">
        <f t="shared" si="53"/>
        <v/>
      </c>
      <c r="B489" s="16"/>
      <c r="C489" s="17"/>
      <c r="D489" s="18"/>
      <c r="E489" s="29"/>
      <c r="F489" s="39"/>
      <c r="G489" s="40"/>
      <c r="H489" s="41"/>
      <c r="I489" s="42"/>
      <c r="J489" s="82">
        <f t="shared" si="54"/>
        <v>0</v>
      </c>
      <c r="K489" s="43"/>
      <c r="L489" s="83" t="str">
        <f t="shared" si="55"/>
        <v/>
      </c>
      <c r="M489" s="53"/>
      <c r="Q489" s="12"/>
      <c r="S489"/>
    </row>
    <row r="490" spans="1:19" x14ac:dyDescent="0.25">
      <c r="A490" s="12" t="str">
        <f t="shared" si="53"/>
        <v/>
      </c>
      <c r="B490" s="16"/>
      <c r="C490" s="17"/>
      <c r="D490" s="18"/>
      <c r="E490" s="29"/>
      <c r="F490" s="27"/>
      <c r="G490" s="28"/>
      <c r="H490" s="19"/>
      <c r="I490" s="23"/>
      <c r="J490" s="82">
        <f t="shared" si="54"/>
        <v>0</v>
      </c>
      <c r="K490" s="30"/>
      <c r="L490" s="83" t="str">
        <f t="shared" si="55"/>
        <v/>
      </c>
      <c r="M490" s="23"/>
      <c r="Q490" s="12"/>
      <c r="S490"/>
    </row>
    <row r="491" spans="1:19" x14ac:dyDescent="0.25">
      <c r="A491" s="12" t="str">
        <f t="shared" si="53"/>
        <v/>
      </c>
      <c r="B491" s="16"/>
      <c r="C491" s="17"/>
      <c r="D491" s="18"/>
      <c r="E491" s="29"/>
      <c r="F491" s="39"/>
      <c r="G491" s="40"/>
      <c r="H491" s="41"/>
      <c r="I491" s="42"/>
      <c r="J491" s="82">
        <f t="shared" si="54"/>
        <v>0</v>
      </c>
      <c r="K491" s="43"/>
      <c r="L491" s="83" t="str">
        <f t="shared" si="55"/>
        <v/>
      </c>
      <c r="M491" s="53"/>
      <c r="Q491" s="12"/>
      <c r="S491"/>
    </row>
    <row r="492" spans="1:19" x14ac:dyDescent="0.25">
      <c r="A492" s="12" t="str">
        <f t="shared" si="53"/>
        <v/>
      </c>
      <c r="B492" s="16"/>
      <c r="C492" s="17"/>
      <c r="D492" s="18"/>
      <c r="E492" s="29"/>
      <c r="F492" s="27"/>
      <c r="G492" s="28"/>
      <c r="H492" s="19"/>
      <c r="I492" s="23"/>
      <c r="J492" s="82">
        <f t="shared" si="54"/>
        <v>0</v>
      </c>
      <c r="K492" s="30"/>
      <c r="L492" s="83" t="str">
        <f t="shared" si="55"/>
        <v/>
      </c>
      <c r="M492" s="23"/>
      <c r="Q492" s="12"/>
      <c r="S492"/>
    </row>
    <row r="493" spans="1:19" x14ac:dyDescent="0.25">
      <c r="A493" s="12" t="str">
        <f t="shared" si="53"/>
        <v/>
      </c>
      <c r="B493" s="16"/>
      <c r="C493" s="17"/>
      <c r="D493" s="18"/>
      <c r="E493" s="29"/>
      <c r="F493" s="39"/>
      <c r="G493" s="40"/>
      <c r="H493" s="41"/>
      <c r="I493" s="42"/>
      <c r="J493" s="82">
        <f t="shared" si="54"/>
        <v>0</v>
      </c>
      <c r="K493" s="43"/>
      <c r="L493" s="83" t="str">
        <f t="shared" si="55"/>
        <v/>
      </c>
      <c r="M493" s="53"/>
      <c r="Q493" s="12"/>
      <c r="S493"/>
    </row>
    <row r="494" spans="1:19" x14ac:dyDescent="0.25">
      <c r="A494" s="12" t="str">
        <f t="shared" si="53"/>
        <v/>
      </c>
      <c r="B494" s="16"/>
      <c r="C494" s="17"/>
      <c r="D494" s="18"/>
      <c r="E494" s="29"/>
      <c r="F494" s="27"/>
      <c r="G494" s="28"/>
      <c r="H494" s="19"/>
      <c r="I494" s="23"/>
      <c r="J494" s="82">
        <f t="shared" si="54"/>
        <v>0</v>
      </c>
      <c r="K494" s="30"/>
      <c r="L494" s="83" t="str">
        <f t="shared" si="55"/>
        <v/>
      </c>
      <c r="M494" s="23"/>
      <c r="Q494" s="12"/>
      <c r="S494"/>
    </row>
    <row r="495" spans="1:19" x14ac:dyDescent="0.25">
      <c r="A495" s="12" t="str">
        <f t="shared" si="53"/>
        <v/>
      </c>
      <c r="B495" s="16"/>
      <c r="C495" s="17"/>
      <c r="D495" s="18"/>
      <c r="E495" s="29"/>
      <c r="F495" s="39"/>
      <c r="G495" s="40"/>
      <c r="H495" s="41"/>
      <c r="I495" s="42"/>
      <c r="J495" s="82">
        <f t="shared" si="54"/>
        <v>0</v>
      </c>
      <c r="K495" s="43"/>
      <c r="L495" s="83" t="str">
        <f t="shared" si="55"/>
        <v/>
      </c>
      <c r="M495" s="53"/>
      <c r="Q495" s="12"/>
      <c r="S495"/>
    </row>
    <row r="496" spans="1:19" x14ac:dyDescent="0.25">
      <c r="A496" s="12" t="str">
        <f t="shared" si="53"/>
        <v/>
      </c>
      <c r="B496" s="16"/>
      <c r="C496" s="17"/>
      <c r="D496" s="18"/>
      <c r="E496" s="29"/>
      <c r="F496" s="27"/>
      <c r="G496" s="28"/>
      <c r="H496" s="19"/>
      <c r="I496" s="23"/>
      <c r="J496" s="82">
        <f t="shared" si="54"/>
        <v>0</v>
      </c>
      <c r="K496" s="30"/>
      <c r="L496" s="83" t="str">
        <f t="shared" si="55"/>
        <v/>
      </c>
      <c r="M496" s="23"/>
      <c r="Q496" s="12"/>
      <c r="S496"/>
    </row>
    <row r="497" spans="1:19" x14ac:dyDescent="0.25">
      <c r="A497" s="12" t="str">
        <f t="shared" si="53"/>
        <v/>
      </c>
      <c r="B497" s="16"/>
      <c r="C497" s="17"/>
      <c r="D497" s="18"/>
      <c r="E497" s="29"/>
      <c r="F497" s="39"/>
      <c r="G497" s="40"/>
      <c r="H497" s="41"/>
      <c r="I497" s="42"/>
      <c r="J497" s="82">
        <f t="shared" si="54"/>
        <v>0</v>
      </c>
      <c r="K497" s="43"/>
      <c r="L497" s="83" t="str">
        <f t="shared" si="55"/>
        <v/>
      </c>
      <c r="M497" s="53"/>
      <c r="Q497" s="12"/>
      <c r="S497"/>
    </row>
    <row r="498" spans="1:19" x14ac:dyDescent="0.25">
      <c r="A498" s="12" t="str">
        <f t="shared" si="53"/>
        <v/>
      </c>
      <c r="B498" s="16"/>
      <c r="C498" s="17"/>
      <c r="D498" s="18"/>
      <c r="E498" s="29"/>
      <c r="F498" s="27"/>
      <c r="G498" s="28"/>
      <c r="H498" s="19"/>
      <c r="I498" s="23"/>
      <c r="J498" s="82">
        <f t="shared" si="54"/>
        <v>0</v>
      </c>
      <c r="K498" s="30"/>
      <c r="L498" s="83" t="str">
        <f t="shared" si="55"/>
        <v/>
      </c>
      <c r="M498" s="23"/>
      <c r="Q498" s="12"/>
      <c r="S498"/>
    </row>
    <row r="499" spans="1:19" x14ac:dyDescent="0.25">
      <c r="A499" s="12" t="str">
        <f t="shared" si="53"/>
        <v/>
      </c>
      <c r="B499" s="16"/>
      <c r="C499" s="17"/>
      <c r="D499" s="18"/>
      <c r="E499" s="29"/>
      <c r="F499" s="39"/>
      <c r="G499" s="40"/>
      <c r="H499" s="41"/>
      <c r="I499" s="42"/>
      <c r="J499" s="82">
        <f t="shared" si="54"/>
        <v>0</v>
      </c>
      <c r="K499" s="43"/>
      <c r="L499" s="83" t="str">
        <f t="shared" si="55"/>
        <v/>
      </c>
      <c r="M499" s="53"/>
      <c r="Q499" s="12"/>
      <c r="S499"/>
    </row>
    <row r="500" spans="1:19" x14ac:dyDescent="0.25">
      <c r="A500" s="12" t="str">
        <f t="shared" ref="A500:A563" si="56">IFERROR(DATE(B500,C500,D500),"")</f>
        <v/>
      </c>
      <c r="B500" s="16"/>
      <c r="C500" s="17"/>
      <c r="D500" s="18"/>
      <c r="E500" s="29"/>
      <c r="F500" s="27"/>
      <c r="G500" s="28"/>
      <c r="H500" s="19"/>
      <c r="I500" s="23"/>
      <c r="J500" s="82">
        <f t="shared" ref="J500:J563" si="57">IF(E500="entrada",H500*I500,H500*I500*-1)</f>
        <v>0</v>
      </c>
      <c r="K500" s="30"/>
      <c r="L500" s="83" t="str">
        <f t="shared" ref="L500:L563" si="58">IF(J500=0,"",SUM(L499,J500))</f>
        <v/>
      </c>
      <c r="M500" s="23"/>
      <c r="Q500" s="12"/>
      <c r="S500"/>
    </row>
    <row r="501" spans="1:19" x14ac:dyDescent="0.25">
      <c r="A501" s="12" t="str">
        <f t="shared" si="56"/>
        <v/>
      </c>
      <c r="B501" s="16"/>
      <c r="C501" s="17"/>
      <c r="D501" s="18"/>
      <c r="E501" s="29"/>
      <c r="F501" s="39"/>
      <c r="G501" s="40"/>
      <c r="H501" s="41"/>
      <c r="I501" s="42"/>
      <c r="J501" s="82">
        <f t="shared" si="57"/>
        <v>0</v>
      </c>
      <c r="K501" s="43"/>
      <c r="L501" s="83" t="str">
        <f t="shared" si="58"/>
        <v/>
      </c>
      <c r="M501" s="53"/>
      <c r="Q501" s="12"/>
      <c r="S501"/>
    </row>
    <row r="502" spans="1:19" x14ac:dyDescent="0.25">
      <c r="A502" s="12" t="str">
        <f t="shared" si="56"/>
        <v/>
      </c>
      <c r="B502" s="16"/>
      <c r="C502" s="17"/>
      <c r="D502" s="18"/>
      <c r="E502" s="29"/>
      <c r="F502" s="27"/>
      <c r="G502" s="28"/>
      <c r="H502" s="19"/>
      <c r="I502" s="23"/>
      <c r="J502" s="82">
        <f t="shared" si="57"/>
        <v>0</v>
      </c>
      <c r="K502" s="30"/>
      <c r="L502" s="83" t="str">
        <f t="shared" si="58"/>
        <v/>
      </c>
      <c r="M502" s="23"/>
      <c r="Q502" s="12"/>
      <c r="S502"/>
    </row>
    <row r="503" spans="1:19" x14ac:dyDescent="0.25">
      <c r="A503" s="12" t="str">
        <f t="shared" si="56"/>
        <v/>
      </c>
      <c r="B503" s="16"/>
      <c r="C503" s="17"/>
      <c r="D503" s="18"/>
      <c r="E503" s="29"/>
      <c r="F503" s="39"/>
      <c r="G503" s="40"/>
      <c r="H503" s="41"/>
      <c r="I503" s="42"/>
      <c r="J503" s="82">
        <f t="shared" si="57"/>
        <v>0</v>
      </c>
      <c r="K503" s="43"/>
      <c r="L503" s="83" t="str">
        <f t="shared" si="58"/>
        <v/>
      </c>
      <c r="M503" s="53"/>
      <c r="Q503" s="12"/>
      <c r="S503"/>
    </row>
    <row r="504" spans="1:19" x14ac:dyDescent="0.25">
      <c r="A504" s="12" t="str">
        <f t="shared" si="56"/>
        <v/>
      </c>
      <c r="B504" s="16"/>
      <c r="C504" s="17"/>
      <c r="D504" s="18"/>
      <c r="E504" s="29"/>
      <c r="F504" s="27"/>
      <c r="G504" s="28"/>
      <c r="H504" s="19"/>
      <c r="I504" s="23"/>
      <c r="J504" s="82">
        <f t="shared" si="57"/>
        <v>0</v>
      </c>
      <c r="K504" s="30"/>
      <c r="L504" s="83" t="str">
        <f t="shared" si="58"/>
        <v/>
      </c>
      <c r="M504" s="23"/>
      <c r="Q504" s="12"/>
      <c r="S504"/>
    </row>
    <row r="505" spans="1:19" x14ac:dyDescent="0.25">
      <c r="A505" s="12" t="str">
        <f t="shared" si="56"/>
        <v/>
      </c>
      <c r="B505" s="16"/>
      <c r="C505" s="17"/>
      <c r="D505" s="18"/>
      <c r="E505" s="29"/>
      <c r="F505" s="39"/>
      <c r="G505" s="40"/>
      <c r="H505" s="41"/>
      <c r="I505" s="42"/>
      <c r="J505" s="82">
        <f t="shared" si="57"/>
        <v>0</v>
      </c>
      <c r="K505" s="43"/>
      <c r="L505" s="83" t="str">
        <f t="shared" si="58"/>
        <v/>
      </c>
      <c r="M505" s="53"/>
      <c r="Q505" s="12"/>
      <c r="S505"/>
    </row>
    <row r="506" spans="1:19" x14ac:dyDescent="0.25">
      <c r="A506" s="12" t="str">
        <f t="shared" si="56"/>
        <v/>
      </c>
      <c r="B506" s="16"/>
      <c r="C506" s="17"/>
      <c r="D506" s="18"/>
      <c r="E506" s="29"/>
      <c r="F506" s="27"/>
      <c r="G506" s="28"/>
      <c r="H506" s="19"/>
      <c r="I506" s="23"/>
      <c r="J506" s="82">
        <f t="shared" si="57"/>
        <v>0</v>
      </c>
      <c r="K506" s="30"/>
      <c r="L506" s="83" t="str">
        <f t="shared" si="58"/>
        <v/>
      </c>
      <c r="M506" s="23"/>
      <c r="Q506" s="12"/>
      <c r="S506"/>
    </row>
    <row r="507" spans="1:19" x14ac:dyDescent="0.25">
      <c r="A507" s="12" t="str">
        <f t="shared" si="56"/>
        <v/>
      </c>
      <c r="B507" s="16"/>
      <c r="C507" s="17"/>
      <c r="D507" s="18"/>
      <c r="E507" s="29"/>
      <c r="F507" s="39"/>
      <c r="G507" s="40"/>
      <c r="H507" s="41"/>
      <c r="I507" s="42"/>
      <c r="J507" s="82">
        <f t="shared" si="57"/>
        <v>0</v>
      </c>
      <c r="K507" s="43"/>
      <c r="L507" s="83" t="str">
        <f t="shared" si="58"/>
        <v/>
      </c>
      <c r="M507" s="53"/>
      <c r="Q507" s="12"/>
      <c r="S507"/>
    </row>
    <row r="508" spans="1:19" x14ac:dyDescent="0.25">
      <c r="A508" s="12" t="str">
        <f t="shared" si="56"/>
        <v/>
      </c>
      <c r="B508" s="16"/>
      <c r="C508" s="17"/>
      <c r="D508" s="18"/>
      <c r="E508" s="29"/>
      <c r="F508" s="27"/>
      <c r="G508" s="28"/>
      <c r="H508" s="19"/>
      <c r="I508" s="23"/>
      <c r="J508" s="82">
        <f t="shared" si="57"/>
        <v>0</v>
      </c>
      <c r="K508" s="30"/>
      <c r="L508" s="83" t="str">
        <f t="shared" si="58"/>
        <v/>
      </c>
      <c r="M508" s="23"/>
      <c r="Q508" s="12"/>
      <c r="S508"/>
    </row>
    <row r="509" spans="1:19" x14ac:dyDescent="0.25">
      <c r="A509" s="12" t="str">
        <f t="shared" si="56"/>
        <v/>
      </c>
      <c r="B509" s="16"/>
      <c r="C509" s="17"/>
      <c r="D509" s="18"/>
      <c r="E509" s="29"/>
      <c r="F509" s="39"/>
      <c r="G509" s="40"/>
      <c r="H509" s="41"/>
      <c r="I509" s="42"/>
      <c r="J509" s="82">
        <f t="shared" si="57"/>
        <v>0</v>
      </c>
      <c r="K509" s="43"/>
      <c r="L509" s="83" t="str">
        <f t="shared" si="58"/>
        <v/>
      </c>
      <c r="M509" s="53"/>
      <c r="Q509" s="12"/>
      <c r="S509"/>
    </row>
    <row r="510" spans="1:19" x14ac:dyDescent="0.25">
      <c r="A510" s="12" t="str">
        <f t="shared" si="56"/>
        <v/>
      </c>
      <c r="B510" s="16"/>
      <c r="C510" s="17"/>
      <c r="D510" s="18"/>
      <c r="E510" s="29"/>
      <c r="F510" s="27"/>
      <c r="G510" s="28"/>
      <c r="H510" s="19"/>
      <c r="I510" s="23"/>
      <c r="J510" s="82">
        <f t="shared" si="57"/>
        <v>0</v>
      </c>
      <c r="K510" s="30"/>
      <c r="L510" s="83" t="str">
        <f t="shared" si="58"/>
        <v/>
      </c>
      <c r="M510" s="23"/>
      <c r="Q510" s="12"/>
      <c r="S510"/>
    </row>
    <row r="511" spans="1:19" x14ac:dyDescent="0.25">
      <c r="A511" s="12" t="str">
        <f t="shared" si="56"/>
        <v/>
      </c>
      <c r="B511" s="16"/>
      <c r="C511" s="17"/>
      <c r="D511" s="18"/>
      <c r="E511" s="29"/>
      <c r="F511" s="39"/>
      <c r="G511" s="40"/>
      <c r="H511" s="41"/>
      <c r="I511" s="42"/>
      <c r="J511" s="82">
        <f t="shared" si="57"/>
        <v>0</v>
      </c>
      <c r="K511" s="43"/>
      <c r="L511" s="83" t="str">
        <f t="shared" si="58"/>
        <v/>
      </c>
      <c r="M511" s="53"/>
      <c r="Q511" s="12"/>
      <c r="S511"/>
    </row>
    <row r="512" spans="1:19" x14ac:dyDescent="0.25">
      <c r="A512" s="12" t="str">
        <f t="shared" si="56"/>
        <v/>
      </c>
      <c r="B512" s="16"/>
      <c r="C512" s="17"/>
      <c r="D512" s="18"/>
      <c r="E512" s="29"/>
      <c r="F512" s="27"/>
      <c r="G512" s="28"/>
      <c r="H512" s="19"/>
      <c r="I512" s="23"/>
      <c r="J512" s="82">
        <f t="shared" si="57"/>
        <v>0</v>
      </c>
      <c r="K512" s="30"/>
      <c r="L512" s="83" t="str">
        <f t="shared" si="58"/>
        <v/>
      </c>
      <c r="M512" s="23"/>
      <c r="Q512" s="12"/>
      <c r="S512"/>
    </row>
    <row r="513" spans="1:19" x14ac:dyDescent="0.25">
      <c r="A513" s="12" t="str">
        <f t="shared" si="56"/>
        <v/>
      </c>
      <c r="B513" s="16"/>
      <c r="C513" s="17"/>
      <c r="D513" s="18"/>
      <c r="E513" s="29"/>
      <c r="F513" s="39"/>
      <c r="G513" s="40"/>
      <c r="H513" s="41"/>
      <c r="I513" s="42"/>
      <c r="J513" s="82">
        <f t="shared" si="57"/>
        <v>0</v>
      </c>
      <c r="K513" s="43"/>
      <c r="L513" s="83" t="str">
        <f t="shared" si="58"/>
        <v/>
      </c>
      <c r="M513" s="53"/>
      <c r="Q513" s="12"/>
      <c r="S513"/>
    </row>
    <row r="514" spans="1:19" x14ac:dyDescent="0.25">
      <c r="A514" s="12" t="str">
        <f t="shared" si="56"/>
        <v/>
      </c>
      <c r="B514" s="16"/>
      <c r="C514" s="17"/>
      <c r="D514" s="18"/>
      <c r="E514" s="29"/>
      <c r="F514" s="27"/>
      <c r="G514" s="28"/>
      <c r="H514" s="19"/>
      <c r="I514" s="23"/>
      <c r="J514" s="82">
        <f t="shared" si="57"/>
        <v>0</v>
      </c>
      <c r="K514" s="30"/>
      <c r="L514" s="83" t="str">
        <f t="shared" si="58"/>
        <v/>
      </c>
      <c r="M514" s="23"/>
      <c r="Q514" s="12"/>
      <c r="S514"/>
    </row>
    <row r="515" spans="1:19" x14ac:dyDescent="0.25">
      <c r="A515" s="12" t="str">
        <f t="shared" si="56"/>
        <v/>
      </c>
      <c r="B515" s="16"/>
      <c r="C515" s="17"/>
      <c r="D515" s="18"/>
      <c r="E515" s="29"/>
      <c r="F515" s="39"/>
      <c r="G515" s="40"/>
      <c r="H515" s="41"/>
      <c r="I515" s="42"/>
      <c r="J515" s="82">
        <f t="shared" si="57"/>
        <v>0</v>
      </c>
      <c r="K515" s="43"/>
      <c r="L515" s="83" t="str">
        <f t="shared" si="58"/>
        <v/>
      </c>
      <c r="M515" s="53"/>
      <c r="Q515" s="12"/>
      <c r="S515"/>
    </row>
    <row r="516" spans="1:19" x14ac:dyDescent="0.25">
      <c r="A516" s="12" t="str">
        <f t="shared" si="56"/>
        <v/>
      </c>
      <c r="B516" s="16"/>
      <c r="C516" s="17"/>
      <c r="D516" s="18"/>
      <c r="E516" s="29"/>
      <c r="F516" s="27"/>
      <c r="G516" s="28"/>
      <c r="H516" s="19"/>
      <c r="I516" s="23"/>
      <c r="J516" s="82">
        <f t="shared" si="57"/>
        <v>0</v>
      </c>
      <c r="K516" s="30"/>
      <c r="L516" s="83" t="str">
        <f t="shared" si="58"/>
        <v/>
      </c>
      <c r="M516" s="23"/>
      <c r="Q516" s="12"/>
      <c r="S516"/>
    </row>
    <row r="517" spans="1:19" x14ac:dyDescent="0.25">
      <c r="A517" s="12" t="str">
        <f t="shared" si="56"/>
        <v/>
      </c>
      <c r="B517" s="16"/>
      <c r="C517" s="17"/>
      <c r="D517" s="18"/>
      <c r="E517" s="29"/>
      <c r="F517" s="39"/>
      <c r="G517" s="40"/>
      <c r="H517" s="41"/>
      <c r="I517" s="42"/>
      <c r="J517" s="82">
        <f t="shared" si="57"/>
        <v>0</v>
      </c>
      <c r="K517" s="43"/>
      <c r="L517" s="83" t="str">
        <f t="shared" si="58"/>
        <v/>
      </c>
      <c r="M517" s="53"/>
      <c r="Q517" s="12"/>
      <c r="S517"/>
    </row>
    <row r="518" spans="1:19" x14ac:dyDescent="0.25">
      <c r="A518" s="12" t="str">
        <f t="shared" si="56"/>
        <v/>
      </c>
      <c r="B518" s="16"/>
      <c r="C518" s="17"/>
      <c r="D518" s="18"/>
      <c r="E518" s="29"/>
      <c r="F518" s="27"/>
      <c r="G518" s="28"/>
      <c r="H518" s="19"/>
      <c r="I518" s="23"/>
      <c r="J518" s="82">
        <f t="shared" si="57"/>
        <v>0</v>
      </c>
      <c r="K518" s="30"/>
      <c r="L518" s="83" t="str">
        <f t="shared" si="58"/>
        <v/>
      </c>
      <c r="M518" s="23"/>
      <c r="Q518" s="12"/>
      <c r="S518"/>
    </row>
    <row r="519" spans="1:19" x14ac:dyDescent="0.25">
      <c r="A519" s="12" t="str">
        <f t="shared" si="56"/>
        <v/>
      </c>
      <c r="B519" s="16"/>
      <c r="C519" s="17"/>
      <c r="D519" s="18"/>
      <c r="E519" s="29"/>
      <c r="F519" s="39"/>
      <c r="G519" s="40"/>
      <c r="H519" s="41"/>
      <c r="I519" s="42"/>
      <c r="J519" s="82">
        <f t="shared" si="57"/>
        <v>0</v>
      </c>
      <c r="K519" s="43"/>
      <c r="L519" s="83" t="str">
        <f t="shared" si="58"/>
        <v/>
      </c>
      <c r="M519" s="53"/>
      <c r="Q519" s="12"/>
      <c r="S519"/>
    </row>
    <row r="520" spans="1:19" x14ac:dyDescent="0.25">
      <c r="A520" s="12" t="str">
        <f t="shared" si="56"/>
        <v/>
      </c>
      <c r="B520" s="16"/>
      <c r="C520" s="17"/>
      <c r="D520" s="18"/>
      <c r="E520" s="29"/>
      <c r="F520" s="27"/>
      <c r="G520" s="28"/>
      <c r="H520" s="19"/>
      <c r="I520" s="23"/>
      <c r="J520" s="82">
        <f t="shared" si="57"/>
        <v>0</v>
      </c>
      <c r="K520" s="30"/>
      <c r="L520" s="83" t="str">
        <f t="shared" si="58"/>
        <v/>
      </c>
      <c r="M520" s="23"/>
      <c r="Q520" s="12"/>
      <c r="S520"/>
    </row>
    <row r="521" spans="1:19" x14ac:dyDescent="0.25">
      <c r="A521" s="12" t="str">
        <f t="shared" si="56"/>
        <v/>
      </c>
      <c r="B521" s="16"/>
      <c r="C521" s="17"/>
      <c r="D521" s="18"/>
      <c r="E521" s="29"/>
      <c r="F521" s="39"/>
      <c r="G521" s="40"/>
      <c r="H521" s="41"/>
      <c r="I521" s="42"/>
      <c r="J521" s="82">
        <f t="shared" si="57"/>
        <v>0</v>
      </c>
      <c r="K521" s="43"/>
      <c r="L521" s="83" t="str">
        <f t="shared" si="58"/>
        <v/>
      </c>
      <c r="M521" s="53"/>
      <c r="Q521" s="12"/>
      <c r="S521"/>
    </row>
    <row r="522" spans="1:19" x14ac:dyDescent="0.25">
      <c r="A522" s="12" t="str">
        <f t="shared" si="56"/>
        <v/>
      </c>
      <c r="B522" s="16"/>
      <c r="C522" s="17"/>
      <c r="D522" s="18"/>
      <c r="E522" s="29"/>
      <c r="F522" s="27"/>
      <c r="G522" s="28"/>
      <c r="H522" s="19"/>
      <c r="I522" s="23"/>
      <c r="J522" s="82">
        <f t="shared" si="57"/>
        <v>0</v>
      </c>
      <c r="K522" s="30"/>
      <c r="L522" s="83" t="str">
        <f t="shared" si="58"/>
        <v/>
      </c>
      <c r="M522" s="23"/>
      <c r="Q522" s="12"/>
      <c r="S522"/>
    </row>
    <row r="523" spans="1:19" x14ac:dyDescent="0.25">
      <c r="A523" s="12" t="str">
        <f t="shared" si="56"/>
        <v/>
      </c>
      <c r="B523" s="16"/>
      <c r="C523" s="17"/>
      <c r="D523" s="18"/>
      <c r="E523" s="29"/>
      <c r="F523" s="39"/>
      <c r="G523" s="40"/>
      <c r="H523" s="41"/>
      <c r="I523" s="42"/>
      <c r="J523" s="82">
        <f t="shared" si="57"/>
        <v>0</v>
      </c>
      <c r="K523" s="43"/>
      <c r="L523" s="83" t="str">
        <f t="shared" si="58"/>
        <v/>
      </c>
      <c r="M523" s="53"/>
      <c r="Q523" s="12"/>
      <c r="S523"/>
    </row>
    <row r="524" spans="1:19" x14ac:dyDescent="0.25">
      <c r="A524" s="12" t="str">
        <f t="shared" si="56"/>
        <v/>
      </c>
      <c r="B524" s="16"/>
      <c r="C524" s="17"/>
      <c r="D524" s="18"/>
      <c r="E524" s="29"/>
      <c r="F524" s="27"/>
      <c r="G524" s="28"/>
      <c r="H524" s="19"/>
      <c r="I524" s="23"/>
      <c r="J524" s="82">
        <f t="shared" si="57"/>
        <v>0</v>
      </c>
      <c r="K524" s="30"/>
      <c r="L524" s="83" t="str">
        <f t="shared" si="58"/>
        <v/>
      </c>
      <c r="M524" s="23"/>
      <c r="Q524" s="12"/>
      <c r="S524"/>
    </row>
    <row r="525" spans="1:19" x14ac:dyDescent="0.25">
      <c r="A525" s="12" t="str">
        <f t="shared" si="56"/>
        <v/>
      </c>
      <c r="B525" s="16"/>
      <c r="C525" s="17"/>
      <c r="D525" s="18"/>
      <c r="E525" s="29"/>
      <c r="F525" s="39"/>
      <c r="G525" s="40"/>
      <c r="H525" s="41"/>
      <c r="I525" s="42"/>
      <c r="J525" s="82">
        <f t="shared" si="57"/>
        <v>0</v>
      </c>
      <c r="K525" s="43"/>
      <c r="L525" s="83" t="str">
        <f t="shared" si="58"/>
        <v/>
      </c>
      <c r="M525" s="53"/>
      <c r="Q525" s="12"/>
      <c r="S525"/>
    </row>
    <row r="526" spans="1:19" x14ac:dyDescent="0.25">
      <c r="A526" s="12" t="str">
        <f t="shared" si="56"/>
        <v/>
      </c>
      <c r="B526" s="16"/>
      <c r="C526" s="17"/>
      <c r="D526" s="18"/>
      <c r="E526" s="29"/>
      <c r="F526" s="27"/>
      <c r="G526" s="28"/>
      <c r="H526" s="19"/>
      <c r="I526" s="23"/>
      <c r="J526" s="82">
        <f t="shared" si="57"/>
        <v>0</v>
      </c>
      <c r="K526" s="30"/>
      <c r="L526" s="83" t="str">
        <f t="shared" si="58"/>
        <v/>
      </c>
      <c r="M526" s="23"/>
      <c r="Q526" s="12"/>
      <c r="S526"/>
    </row>
    <row r="527" spans="1:19" x14ac:dyDescent="0.25">
      <c r="A527" s="12" t="str">
        <f t="shared" si="56"/>
        <v/>
      </c>
      <c r="B527" s="16"/>
      <c r="C527" s="17"/>
      <c r="D527" s="18"/>
      <c r="E527" s="29"/>
      <c r="F527" s="39"/>
      <c r="G527" s="40"/>
      <c r="H527" s="41"/>
      <c r="I527" s="42"/>
      <c r="J527" s="82">
        <f t="shared" si="57"/>
        <v>0</v>
      </c>
      <c r="K527" s="43"/>
      <c r="L527" s="83" t="str">
        <f t="shared" si="58"/>
        <v/>
      </c>
      <c r="M527" s="53"/>
      <c r="Q527" s="12"/>
      <c r="S527"/>
    </row>
    <row r="528" spans="1:19" x14ac:dyDescent="0.25">
      <c r="A528" s="12" t="str">
        <f t="shared" si="56"/>
        <v/>
      </c>
      <c r="B528" s="16"/>
      <c r="C528" s="17"/>
      <c r="D528" s="18"/>
      <c r="E528" s="29"/>
      <c r="F528" s="27"/>
      <c r="G528" s="28"/>
      <c r="H528" s="19"/>
      <c r="I528" s="23"/>
      <c r="J528" s="82">
        <f t="shared" si="57"/>
        <v>0</v>
      </c>
      <c r="K528" s="30"/>
      <c r="L528" s="83" t="str">
        <f t="shared" si="58"/>
        <v/>
      </c>
      <c r="M528" s="23"/>
      <c r="Q528" s="12"/>
      <c r="S528"/>
    </row>
    <row r="529" spans="1:19" x14ac:dyDescent="0.25">
      <c r="A529" s="12" t="str">
        <f t="shared" si="56"/>
        <v/>
      </c>
      <c r="B529" s="16"/>
      <c r="C529" s="17"/>
      <c r="D529" s="18"/>
      <c r="E529" s="29"/>
      <c r="F529" s="39"/>
      <c r="G529" s="40"/>
      <c r="H529" s="41"/>
      <c r="I529" s="42"/>
      <c r="J529" s="82">
        <f t="shared" si="57"/>
        <v>0</v>
      </c>
      <c r="K529" s="43"/>
      <c r="L529" s="83" t="str">
        <f t="shared" si="58"/>
        <v/>
      </c>
      <c r="M529" s="53"/>
      <c r="Q529" s="12"/>
      <c r="S529"/>
    </row>
    <row r="530" spans="1:19" x14ac:dyDescent="0.25">
      <c r="A530" s="12" t="str">
        <f t="shared" si="56"/>
        <v/>
      </c>
      <c r="B530" s="16"/>
      <c r="C530" s="17"/>
      <c r="D530" s="18"/>
      <c r="E530" s="29"/>
      <c r="F530" s="27"/>
      <c r="G530" s="28"/>
      <c r="H530" s="19"/>
      <c r="I530" s="23"/>
      <c r="J530" s="82">
        <f t="shared" si="57"/>
        <v>0</v>
      </c>
      <c r="K530" s="30"/>
      <c r="L530" s="83" t="str">
        <f t="shared" si="58"/>
        <v/>
      </c>
      <c r="M530" s="23"/>
      <c r="Q530" s="12"/>
      <c r="S530"/>
    </row>
    <row r="531" spans="1:19" x14ac:dyDescent="0.25">
      <c r="A531" s="12" t="str">
        <f t="shared" si="56"/>
        <v/>
      </c>
      <c r="B531" s="16"/>
      <c r="C531" s="17"/>
      <c r="D531" s="18"/>
      <c r="E531" s="29"/>
      <c r="F531" s="39"/>
      <c r="G531" s="40"/>
      <c r="H531" s="41"/>
      <c r="I531" s="42"/>
      <c r="J531" s="82">
        <f t="shared" si="57"/>
        <v>0</v>
      </c>
      <c r="K531" s="43"/>
      <c r="L531" s="83" t="str">
        <f t="shared" si="58"/>
        <v/>
      </c>
      <c r="M531" s="53"/>
      <c r="Q531" s="12"/>
      <c r="S531"/>
    </row>
    <row r="532" spans="1:19" x14ac:dyDescent="0.25">
      <c r="A532" s="12" t="str">
        <f t="shared" si="56"/>
        <v/>
      </c>
      <c r="B532" s="16"/>
      <c r="C532" s="17"/>
      <c r="D532" s="18"/>
      <c r="E532" s="29"/>
      <c r="F532" s="27"/>
      <c r="G532" s="28"/>
      <c r="H532" s="19"/>
      <c r="I532" s="23"/>
      <c r="J532" s="82">
        <f t="shared" si="57"/>
        <v>0</v>
      </c>
      <c r="K532" s="30"/>
      <c r="L532" s="83" t="str">
        <f t="shared" si="58"/>
        <v/>
      </c>
      <c r="M532" s="23"/>
      <c r="Q532" s="12"/>
      <c r="S532"/>
    </row>
    <row r="533" spans="1:19" x14ac:dyDescent="0.25">
      <c r="A533" s="12" t="str">
        <f t="shared" si="56"/>
        <v/>
      </c>
      <c r="B533" s="16"/>
      <c r="C533" s="17"/>
      <c r="D533" s="18"/>
      <c r="E533" s="29"/>
      <c r="F533" s="39"/>
      <c r="G533" s="40"/>
      <c r="H533" s="41"/>
      <c r="I533" s="42"/>
      <c r="J533" s="82">
        <f t="shared" si="57"/>
        <v>0</v>
      </c>
      <c r="K533" s="43"/>
      <c r="L533" s="83" t="str">
        <f t="shared" si="58"/>
        <v/>
      </c>
      <c r="M533" s="53"/>
      <c r="Q533" s="12"/>
      <c r="S533"/>
    </row>
    <row r="534" spans="1:19" x14ac:dyDescent="0.25">
      <c r="A534" s="12" t="str">
        <f t="shared" si="56"/>
        <v/>
      </c>
      <c r="B534" s="16"/>
      <c r="C534" s="17"/>
      <c r="D534" s="18"/>
      <c r="E534" s="29"/>
      <c r="F534" s="27"/>
      <c r="G534" s="28"/>
      <c r="H534" s="19"/>
      <c r="I534" s="23"/>
      <c r="J534" s="82">
        <f t="shared" si="57"/>
        <v>0</v>
      </c>
      <c r="K534" s="30"/>
      <c r="L534" s="83" t="str">
        <f t="shared" si="58"/>
        <v/>
      </c>
      <c r="M534" s="23"/>
      <c r="Q534" s="12"/>
      <c r="S534"/>
    </row>
    <row r="535" spans="1:19" x14ac:dyDescent="0.25">
      <c r="A535" s="12" t="str">
        <f t="shared" si="56"/>
        <v/>
      </c>
      <c r="B535" s="16"/>
      <c r="C535" s="17"/>
      <c r="D535" s="18"/>
      <c r="E535" s="29"/>
      <c r="F535" s="39"/>
      <c r="G535" s="40"/>
      <c r="H535" s="41"/>
      <c r="I535" s="42"/>
      <c r="J535" s="82">
        <f t="shared" si="57"/>
        <v>0</v>
      </c>
      <c r="K535" s="43"/>
      <c r="L535" s="83" t="str">
        <f t="shared" si="58"/>
        <v/>
      </c>
      <c r="M535" s="53"/>
      <c r="Q535" s="12"/>
      <c r="S535"/>
    </row>
    <row r="536" spans="1:19" x14ac:dyDescent="0.25">
      <c r="A536" s="12" t="str">
        <f t="shared" si="56"/>
        <v/>
      </c>
      <c r="B536" s="16"/>
      <c r="C536" s="17"/>
      <c r="D536" s="18"/>
      <c r="E536" s="29"/>
      <c r="F536" s="27"/>
      <c r="G536" s="28"/>
      <c r="H536" s="19"/>
      <c r="I536" s="23"/>
      <c r="J536" s="82">
        <f t="shared" si="57"/>
        <v>0</v>
      </c>
      <c r="K536" s="30"/>
      <c r="L536" s="83" t="str">
        <f t="shared" si="58"/>
        <v/>
      </c>
      <c r="M536" s="23"/>
      <c r="Q536" s="12"/>
      <c r="S536"/>
    </row>
    <row r="537" spans="1:19" x14ac:dyDescent="0.25">
      <c r="A537" s="12" t="str">
        <f t="shared" si="56"/>
        <v/>
      </c>
      <c r="B537" s="16"/>
      <c r="C537" s="17"/>
      <c r="D537" s="18"/>
      <c r="E537" s="29"/>
      <c r="F537" s="39"/>
      <c r="G537" s="40"/>
      <c r="H537" s="41"/>
      <c r="I537" s="42"/>
      <c r="J537" s="82">
        <f t="shared" si="57"/>
        <v>0</v>
      </c>
      <c r="K537" s="43"/>
      <c r="L537" s="83" t="str">
        <f t="shared" si="58"/>
        <v/>
      </c>
      <c r="M537" s="53"/>
      <c r="Q537" s="12"/>
      <c r="S537"/>
    </row>
    <row r="538" spans="1:19" x14ac:dyDescent="0.25">
      <c r="A538" s="12" t="str">
        <f t="shared" si="56"/>
        <v/>
      </c>
      <c r="B538" s="16"/>
      <c r="C538" s="17"/>
      <c r="D538" s="18"/>
      <c r="E538" s="29"/>
      <c r="F538" s="27"/>
      <c r="G538" s="28"/>
      <c r="H538" s="19"/>
      <c r="I538" s="23"/>
      <c r="J538" s="82">
        <f t="shared" si="57"/>
        <v>0</v>
      </c>
      <c r="K538" s="30"/>
      <c r="L538" s="83" t="str">
        <f t="shared" si="58"/>
        <v/>
      </c>
      <c r="M538" s="23"/>
      <c r="Q538" s="12"/>
      <c r="S538"/>
    </row>
    <row r="539" spans="1:19" x14ac:dyDescent="0.25">
      <c r="A539" s="12" t="str">
        <f t="shared" si="56"/>
        <v/>
      </c>
      <c r="B539" s="16"/>
      <c r="C539" s="17"/>
      <c r="D539" s="18"/>
      <c r="E539" s="29"/>
      <c r="F539" s="39"/>
      <c r="G539" s="40"/>
      <c r="H539" s="41"/>
      <c r="I539" s="42"/>
      <c r="J539" s="82">
        <f t="shared" si="57"/>
        <v>0</v>
      </c>
      <c r="K539" s="43"/>
      <c r="L539" s="83" t="str">
        <f t="shared" si="58"/>
        <v/>
      </c>
      <c r="M539" s="53"/>
      <c r="Q539" s="12"/>
      <c r="S539"/>
    </row>
    <row r="540" spans="1:19" x14ac:dyDescent="0.25">
      <c r="A540" s="12" t="str">
        <f t="shared" si="56"/>
        <v/>
      </c>
      <c r="B540" s="16"/>
      <c r="C540" s="17"/>
      <c r="D540" s="18"/>
      <c r="E540" s="29"/>
      <c r="F540" s="27"/>
      <c r="G540" s="28"/>
      <c r="H540" s="19"/>
      <c r="I540" s="23"/>
      <c r="J540" s="82">
        <f t="shared" si="57"/>
        <v>0</v>
      </c>
      <c r="K540" s="30"/>
      <c r="L540" s="83" t="str">
        <f t="shared" si="58"/>
        <v/>
      </c>
      <c r="M540" s="23"/>
      <c r="Q540" s="12"/>
      <c r="S540"/>
    </row>
    <row r="541" spans="1:19" x14ac:dyDescent="0.25">
      <c r="A541" s="12" t="str">
        <f t="shared" si="56"/>
        <v/>
      </c>
      <c r="B541" s="16"/>
      <c r="C541" s="17"/>
      <c r="D541" s="18"/>
      <c r="E541" s="29"/>
      <c r="F541" s="39"/>
      <c r="G541" s="40"/>
      <c r="H541" s="41"/>
      <c r="I541" s="42"/>
      <c r="J541" s="82">
        <f t="shared" si="57"/>
        <v>0</v>
      </c>
      <c r="K541" s="43"/>
      <c r="L541" s="83" t="str">
        <f t="shared" si="58"/>
        <v/>
      </c>
      <c r="M541" s="53"/>
      <c r="Q541" s="12"/>
      <c r="S541"/>
    </row>
    <row r="542" spans="1:19" x14ac:dyDescent="0.25">
      <c r="A542" s="12" t="str">
        <f t="shared" si="56"/>
        <v/>
      </c>
      <c r="B542" s="16"/>
      <c r="C542" s="17"/>
      <c r="D542" s="18"/>
      <c r="E542" s="29"/>
      <c r="F542" s="27"/>
      <c r="G542" s="28"/>
      <c r="H542" s="19"/>
      <c r="I542" s="23"/>
      <c r="J542" s="82">
        <f t="shared" si="57"/>
        <v>0</v>
      </c>
      <c r="K542" s="30"/>
      <c r="L542" s="83" t="str">
        <f t="shared" si="58"/>
        <v/>
      </c>
      <c r="M542" s="23"/>
      <c r="Q542" s="12"/>
      <c r="S542"/>
    </row>
    <row r="543" spans="1:19" x14ac:dyDescent="0.25">
      <c r="A543" s="12" t="str">
        <f t="shared" si="56"/>
        <v/>
      </c>
      <c r="B543" s="16"/>
      <c r="C543" s="17"/>
      <c r="D543" s="18"/>
      <c r="E543" s="29"/>
      <c r="F543" s="39"/>
      <c r="G543" s="40"/>
      <c r="H543" s="41"/>
      <c r="I543" s="42"/>
      <c r="J543" s="82">
        <f t="shared" si="57"/>
        <v>0</v>
      </c>
      <c r="K543" s="43"/>
      <c r="L543" s="83" t="str">
        <f t="shared" si="58"/>
        <v/>
      </c>
      <c r="M543" s="53"/>
      <c r="Q543" s="12"/>
      <c r="S543"/>
    </row>
    <row r="544" spans="1:19" x14ac:dyDescent="0.25">
      <c r="A544" s="12" t="str">
        <f t="shared" si="56"/>
        <v/>
      </c>
      <c r="B544" s="16"/>
      <c r="C544" s="17"/>
      <c r="D544" s="18"/>
      <c r="E544" s="29"/>
      <c r="F544" s="27"/>
      <c r="G544" s="28"/>
      <c r="H544" s="19"/>
      <c r="I544" s="23"/>
      <c r="J544" s="82">
        <f t="shared" si="57"/>
        <v>0</v>
      </c>
      <c r="K544" s="30"/>
      <c r="L544" s="83" t="str">
        <f t="shared" si="58"/>
        <v/>
      </c>
      <c r="M544" s="23"/>
      <c r="Q544" s="12"/>
      <c r="S544"/>
    </row>
    <row r="545" spans="1:19" x14ac:dyDescent="0.25">
      <c r="A545" s="12" t="str">
        <f t="shared" si="56"/>
        <v/>
      </c>
      <c r="B545" s="16"/>
      <c r="C545" s="17"/>
      <c r="D545" s="18"/>
      <c r="E545" s="29"/>
      <c r="F545" s="39"/>
      <c r="G545" s="40"/>
      <c r="H545" s="41"/>
      <c r="I545" s="42"/>
      <c r="J545" s="82">
        <f t="shared" si="57"/>
        <v>0</v>
      </c>
      <c r="K545" s="43"/>
      <c r="L545" s="83" t="str">
        <f t="shared" si="58"/>
        <v/>
      </c>
      <c r="M545" s="53"/>
      <c r="Q545" s="12"/>
      <c r="S545"/>
    </row>
    <row r="546" spans="1:19" x14ac:dyDescent="0.25">
      <c r="A546" s="12" t="str">
        <f t="shared" si="56"/>
        <v/>
      </c>
      <c r="B546" s="16"/>
      <c r="C546" s="17"/>
      <c r="D546" s="18"/>
      <c r="E546" s="29"/>
      <c r="F546" s="27"/>
      <c r="G546" s="28"/>
      <c r="H546" s="19"/>
      <c r="I546" s="23"/>
      <c r="J546" s="82">
        <f t="shared" si="57"/>
        <v>0</v>
      </c>
      <c r="K546" s="30"/>
      <c r="L546" s="83" t="str">
        <f t="shared" si="58"/>
        <v/>
      </c>
      <c r="M546" s="23"/>
      <c r="Q546" s="12"/>
      <c r="S546"/>
    </row>
    <row r="547" spans="1:19" x14ac:dyDescent="0.25">
      <c r="A547" s="12" t="str">
        <f t="shared" si="56"/>
        <v/>
      </c>
      <c r="B547" s="16"/>
      <c r="C547" s="17"/>
      <c r="D547" s="18"/>
      <c r="E547" s="29"/>
      <c r="F547" s="39"/>
      <c r="G547" s="40"/>
      <c r="H547" s="41"/>
      <c r="I547" s="42"/>
      <c r="J547" s="82">
        <f t="shared" si="57"/>
        <v>0</v>
      </c>
      <c r="K547" s="43"/>
      <c r="L547" s="83" t="str">
        <f t="shared" si="58"/>
        <v/>
      </c>
      <c r="M547" s="53"/>
      <c r="Q547" s="12"/>
      <c r="S547"/>
    </row>
    <row r="548" spans="1:19" x14ac:dyDescent="0.25">
      <c r="A548" s="12" t="str">
        <f t="shared" si="56"/>
        <v/>
      </c>
      <c r="B548" s="16"/>
      <c r="C548" s="17"/>
      <c r="D548" s="18"/>
      <c r="E548" s="29"/>
      <c r="F548" s="27"/>
      <c r="G548" s="28"/>
      <c r="H548" s="19"/>
      <c r="I548" s="23"/>
      <c r="J548" s="82">
        <f t="shared" si="57"/>
        <v>0</v>
      </c>
      <c r="K548" s="30"/>
      <c r="L548" s="83" t="str">
        <f t="shared" si="58"/>
        <v/>
      </c>
      <c r="M548" s="23"/>
      <c r="Q548" s="12"/>
      <c r="S548"/>
    </row>
    <row r="549" spans="1:19" x14ac:dyDescent="0.25">
      <c r="A549" s="12" t="str">
        <f t="shared" si="56"/>
        <v/>
      </c>
      <c r="B549" s="16"/>
      <c r="C549" s="17"/>
      <c r="D549" s="18"/>
      <c r="E549" s="29"/>
      <c r="F549" s="39"/>
      <c r="G549" s="40"/>
      <c r="H549" s="41"/>
      <c r="I549" s="42"/>
      <c r="J549" s="82">
        <f t="shared" si="57"/>
        <v>0</v>
      </c>
      <c r="K549" s="43"/>
      <c r="L549" s="83" t="str">
        <f t="shared" si="58"/>
        <v/>
      </c>
      <c r="M549" s="53"/>
      <c r="Q549" s="12"/>
      <c r="S549"/>
    </row>
    <row r="550" spans="1:19" x14ac:dyDescent="0.25">
      <c r="A550" s="12" t="str">
        <f t="shared" si="56"/>
        <v/>
      </c>
      <c r="B550" s="16"/>
      <c r="C550" s="17"/>
      <c r="D550" s="18"/>
      <c r="E550" s="29"/>
      <c r="F550" s="27"/>
      <c r="G550" s="28"/>
      <c r="H550" s="19"/>
      <c r="I550" s="23"/>
      <c r="J550" s="82">
        <f t="shared" si="57"/>
        <v>0</v>
      </c>
      <c r="K550" s="30"/>
      <c r="L550" s="83" t="str">
        <f t="shared" si="58"/>
        <v/>
      </c>
      <c r="M550" s="23"/>
      <c r="Q550" s="12"/>
      <c r="S550"/>
    </row>
    <row r="551" spans="1:19" x14ac:dyDescent="0.25">
      <c r="A551" s="12" t="str">
        <f t="shared" si="56"/>
        <v/>
      </c>
      <c r="B551" s="16"/>
      <c r="C551" s="17"/>
      <c r="D551" s="18"/>
      <c r="E551" s="29"/>
      <c r="F551" s="39"/>
      <c r="G551" s="40"/>
      <c r="H551" s="41"/>
      <c r="I551" s="42"/>
      <c r="J551" s="82">
        <f t="shared" si="57"/>
        <v>0</v>
      </c>
      <c r="K551" s="43"/>
      <c r="L551" s="83" t="str">
        <f t="shared" si="58"/>
        <v/>
      </c>
      <c r="M551" s="53"/>
      <c r="Q551" s="12"/>
      <c r="S551"/>
    </row>
    <row r="552" spans="1:19" x14ac:dyDescent="0.25">
      <c r="A552" s="12" t="str">
        <f t="shared" si="56"/>
        <v/>
      </c>
      <c r="B552" s="16"/>
      <c r="C552" s="17"/>
      <c r="D552" s="18"/>
      <c r="E552" s="29"/>
      <c r="F552" s="27"/>
      <c r="G552" s="28"/>
      <c r="H552" s="19"/>
      <c r="I552" s="23"/>
      <c r="J552" s="82">
        <f t="shared" si="57"/>
        <v>0</v>
      </c>
      <c r="K552" s="30"/>
      <c r="L552" s="83" t="str">
        <f t="shared" si="58"/>
        <v/>
      </c>
      <c r="M552" s="23"/>
      <c r="Q552" s="12"/>
      <c r="S552"/>
    </row>
    <row r="553" spans="1:19" x14ac:dyDescent="0.25">
      <c r="A553" s="12" t="str">
        <f t="shared" si="56"/>
        <v/>
      </c>
      <c r="B553" s="16"/>
      <c r="C553" s="17"/>
      <c r="D553" s="18"/>
      <c r="E553" s="29"/>
      <c r="F553" s="39"/>
      <c r="G553" s="40"/>
      <c r="H553" s="41"/>
      <c r="I553" s="42"/>
      <c r="J553" s="82">
        <f t="shared" si="57"/>
        <v>0</v>
      </c>
      <c r="K553" s="43"/>
      <c r="L553" s="83" t="str">
        <f t="shared" si="58"/>
        <v/>
      </c>
      <c r="M553" s="53"/>
      <c r="Q553" s="12"/>
      <c r="S553"/>
    </row>
    <row r="554" spans="1:19" x14ac:dyDescent="0.25">
      <c r="A554" s="12" t="str">
        <f t="shared" si="56"/>
        <v/>
      </c>
      <c r="B554" s="16"/>
      <c r="C554" s="17"/>
      <c r="D554" s="18"/>
      <c r="E554" s="29"/>
      <c r="F554" s="27"/>
      <c r="G554" s="28"/>
      <c r="H554" s="19"/>
      <c r="I554" s="23"/>
      <c r="J554" s="82">
        <f t="shared" si="57"/>
        <v>0</v>
      </c>
      <c r="K554" s="30"/>
      <c r="L554" s="83" t="str">
        <f t="shared" si="58"/>
        <v/>
      </c>
      <c r="M554" s="23"/>
      <c r="Q554" s="12"/>
      <c r="S554"/>
    </row>
    <row r="555" spans="1:19" x14ac:dyDescent="0.25">
      <c r="A555" s="12" t="str">
        <f t="shared" si="56"/>
        <v/>
      </c>
      <c r="B555" s="16"/>
      <c r="C555" s="17"/>
      <c r="D555" s="18"/>
      <c r="E555" s="29"/>
      <c r="F555" s="39"/>
      <c r="G555" s="40"/>
      <c r="H555" s="41"/>
      <c r="I555" s="42"/>
      <c r="J555" s="82">
        <f t="shared" si="57"/>
        <v>0</v>
      </c>
      <c r="K555" s="43"/>
      <c r="L555" s="83" t="str">
        <f t="shared" si="58"/>
        <v/>
      </c>
      <c r="M555" s="53"/>
      <c r="Q555" s="12"/>
      <c r="S555"/>
    </row>
    <row r="556" spans="1:19" x14ac:dyDescent="0.25">
      <c r="A556" s="12" t="str">
        <f t="shared" si="56"/>
        <v/>
      </c>
      <c r="B556" s="16"/>
      <c r="C556" s="17"/>
      <c r="D556" s="18"/>
      <c r="E556" s="29"/>
      <c r="F556" s="27"/>
      <c r="G556" s="28"/>
      <c r="H556" s="19"/>
      <c r="I556" s="23"/>
      <c r="J556" s="82">
        <f t="shared" si="57"/>
        <v>0</v>
      </c>
      <c r="K556" s="30"/>
      <c r="L556" s="83" t="str">
        <f t="shared" si="58"/>
        <v/>
      </c>
      <c r="M556" s="23"/>
      <c r="Q556" s="12"/>
      <c r="S556"/>
    </row>
    <row r="557" spans="1:19" x14ac:dyDescent="0.25">
      <c r="A557" s="12" t="str">
        <f t="shared" si="56"/>
        <v/>
      </c>
      <c r="B557" s="16"/>
      <c r="C557" s="17"/>
      <c r="D557" s="18"/>
      <c r="E557" s="29"/>
      <c r="F557" s="39"/>
      <c r="G557" s="40"/>
      <c r="H557" s="41"/>
      <c r="I557" s="42"/>
      <c r="J557" s="82">
        <f t="shared" si="57"/>
        <v>0</v>
      </c>
      <c r="K557" s="43"/>
      <c r="L557" s="83" t="str">
        <f t="shared" si="58"/>
        <v/>
      </c>
      <c r="M557" s="53"/>
      <c r="Q557" s="12"/>
      <c r="S557"/>
    </row>
    <row r="558" spans="1:19" x14ac:dyDescent="0.25">
      <c r="A558" s="12" t="str">
        <f t="shared" si="56"/>
        <v/>
      </c>
      <c r="B558" s="16"/>
      <c r="C558" s="17"/>
      <c r="D558" s="18"/>
      <c r="E558" s="29"/>
      <c r="F558" s="27"/>
      <c r="G558" s="28"/>
      <c r="H558" s="19"/>
      <c r="I558" s="23"/>
      <c r="J558" s="82">
        <f t="shared" si="57"/>
        <v>0</v>
      </c>
      <c r="K558" s="30"/>
      <c r="L558" s="83" t="str">
        <f t="shared" si="58"/>
        <v/>
      </c>
      <c r="M558" s="23"/>
      <c r="Q558" s="12"/>
      <c r="S558"/>
    </row>
    <row r="559" spans="1:19" x14ac:dyDescent="0.25">
      <c r="A559" s="12" t="str">
        <f t="shared" si="56"/>
        <v/>
      </c>
      <c r="B559" s="16"/>
      <c r="C559" s="17"/>
      <c r="D559" s="18"/>
      <c r="E559" s="29"/>
      <c r="F559" s="39"/>
      <c r="G559" s="40"/>
      <c r="H559" s="41"/>
      <c r="I559" s="42"/>
      <c r="J559" s="82">
        <f t="shared" si="57"/>
        <v>0</v>
      </c>
      <c r="K559" s="43"/>
      <c r="L559" s="83" t="str">
        <f t="shared" si="58"/>
        <v/>
      </c>
      <c r="M559" s="53"/>
      <c r="Q559" s="12"/>
      <c r="S559"/>
    </row>
    <row r="560" spans="1:19" x14ac:dyDescent="0.25">
      <c r="A560" s="12" t="str">
        <f t="shared" si="56"/>
        <v/>
      </c>
      <c r="B560" s="16"/>
      <c r="C560" s="17"/>
      <c r="D560" s="18"/>
      <c r="E560" s="29"/>
      <c r="F560" s="27"/>
      <c r="G560" s="28"/>
      <c r="H560" s="19"/>
      <c r="I560" s="23"/>
      <c r="J560" s="82">
        <f t="shared" si="57"/>
        <v>0</v>
      </c>
      <c r="K560" s="30"/>
      <c r="L560" s="83" t="str">
        <f t="shared" si="58"/>
        <v/>
      </c>
      <c r="M560" s="23"/>
      <c r="Q560" s="12"/>
      <c r="S560"/>
    </row>
    <row r="561" spans="1:19" x14ac:dyDescent="0.25">
      <c r="A561" s="12" t="str">
        <f t="shared" si="56"/>
        <v/>
      </c>
      <c r="B561" s="16"/>
      <c r="C561" s="17"/>
      <c r="D561" s="18"/>
      <c r="E561" s="29"/>
      <c r="F561" s="39"/>
      <c r="G561" s="40"/>
      <c r="H561" s="41"/>
      <c r="I561" s="42"/>
      <c r="J561" s="82">
        <f t="shared" si="57"/>
        <v>0</v>
      </c>
      <c r="K561" s="43"/>
      <c r="L561" s="83" t="str">
        <f t="shared" si="58"/>
        <v/>
      </c>
      <c r="M561" s="53"/>
      <c r="Q561" s="12"/>
      <c r="S561"/>
    </row>
    <row r="562" spans="1:19" x14ac:dyDescent="0.25">
      <c r="A562" s="12" t="str">
        <f t="shared" si="56"/>
        <v/>
      </c>
      <c r="B562" s="16"/>
      <c r="C562" s="17"/>
      <c r="D562" s="18"/>
      <c r="E562" s="29"/>
      <c r="F562" s="27"/>
      <c r="G562" s="28"/>
      <c r="H562" s="19"/>
      <c r="I562" s="23"/>
      <c r="J562" s="82">
        <f t="shared" si="57"/>
        <v>0</v>
      </c>
      <c r="K562" s="30"/>
      <c r="L562" s="83" t="str">
        <f t="shared" si="58"/>
        <v/>
      </c>
      <c r="M562" s="23"/>
      <c r="Q562" s="12"/>
      <c r="S562"/>
    </row>
    <row r="563" spans="1:19" x14ac:dyDescent="0.25">
      <c r="A563" s="12" t="str">
        <f t="shared" si="56"/>
        <v/>
      </c>
      <c r="B563" s="16"/>
      <c r="C563" s="17"/>
      <c r="D563" s="18"/>
      <c r="E563" s="29"/>
      <c r="F563" s="39"/>
      <c r="G563" s="40"/>
      <c r="H563" s="41"/>
      <c r="I563" s="42"/>
      <c r="J563" s="82">
        <f t="shared" si="57"/>
        <v>0</v>
      </c>
      <c r="K563" s="43"/>
      <c r="L563" s="83" t="str">
        <f t="shared" si="58"/>
        <v/>
      </c>
      <c r="M563" s="53"/>
      <c r="Q563" s="12"/>
      <c r="S563"/>
    </row>
    <row r="564" spans="1:19" x14ac:dyDescent="0.25">
      <c r="A564" s="12" t="str">
        <f t="shared" ref="A564:A627" si="59">IFERROR(DATE(B564,C564,D564),"")</f>
        <v/>
      </c>
      <c r="B564" s="16"/>
      <c r="C564" s="17"/>
      <c r="D564" s="18"/>
      <c r="E564" s="29"/>
      <c r="F564" s="27"/>
      <c r="G564" s="28"/>
      <c r="H564" s="19"/>
      <c r="I564" s="23"/>
      <c r="J564" s="82">
        <f t="shared" ref="J564:J627" si="60">IF(E564="entrada",H564*I564,H564*I564*-1)</f>
        <v>0</v>
      </c>
      <c r="K564" s="30"/>
      <c r="L564" s="83" t="str">
        <f t="shared" ref="L564:L627" si="61">IF(J564=0,"",SUM(L563,J564))</f>
        <v/>
      </c>
      <c r="M564" s="23"/>
      <c r="Q564" s="12"/>
      <c r="S564"/>
    </row>
    <row r="565" spans="1:19" x14ac:dyDescent="0.25">
      <c r="A565" s="12" t="str">
        <f t="shared" si="59"/>
        <v/>
      </c>
      <c r="B565" s="16"/>
      <c r="C565" s="17"/>
      <c r="D565" s="18"/>
      <c r="E565" s="29"/>
      <c r="F565" s="39"/>
      <c r="G565" s="40"/>
      <c r="H565" s="41"/>
      <c r="I565" s="42"/>
      <c r="J565" s="82">
        <f t="shared" si="60"/>
        <v>0</v>
      </c>
      <c r="K565" s="43"/>
      <c r="L565" s="83" t="str">
        <f t="shared" si="61"/>
        <v/>
      </c>
      <c r="M565" s="53"/>
      <c r="Q565" s="12"/>
      <c r="S565"/>
    </row>
    <row r="566" spans="1:19" x14ac:dyDescent="0.25">
      <c r="A566" s="12" t="str">
        <f t="shared" si="59"/>
        <v/>
      </c>
      <c r="B566" s="16"/>
      <c r="C566" s="17"/>
      <c r="D566" s="18"/>
      <c r="E566" s="29"/>
      <c r="F566" s="27"/>
      <c r="G566" s="28"/>
      <c r="H566" s="19"/>
      <c r="I566" s="23"/>
      <c r="J566" s="82">
        <f t="shared" si="60"/>
        <v>0</v>
      </c>
      <c r="K566" s="30"/>
      <c r="L566" s="83" t="str">
        <f t="shared" si="61"/>
        <v/>
      </c>
      <c r="M566" s="23"/>
      <c r="Q566" s="12"/>
      <c r="S566"/>
    </row>
    <row r="567" spans="1:19" x14ac:dyDescent="0.25">
      <c r="A567" s="12" t="str">
        <f t="shared" si="59"/>
        <v/>
      </c>
      <c r="B567" s="16"/>
      <c r="C567" s="17"/>
      <c r="D567" s="18"/>
      <c r="E567" s="29"/>
      <c r="F567" s="39"/>
      <c r="G567" s="40"/>
      <c r="H567" s="41"/>
      <c r="I567" s="42"/>
      <c r="J567" s="82">
        <f t="shared" si="60"/>
        <v>0</v>
      </c>
      <c r="K567" s="43"/>
      <c r="L567" s="83" t="str">
        <f t="shared" si="61"/>
        <v/>
      </c>
      <c r="M567" s="53"/>
      <c r="Q567" s="12"/>
      <c r="S567"/>
    </row>
    <row r="568" spans="1:19" x14ac:dyDescent="0.25">
      <c r="A568" s="12" t="str">
        <f t="shared" si="59"/>
        <v/>
      </c>
      <c r="B568" s="16"/>
      <c r="C568" s="17"/>
      <c r="D568" s="18"/>
      <c r="E568" s="29"/>
      <c r="F568" s="27"/>
      <c r="G568" s="28"/>
      <c r="H568" s="19"/>
      <c r="I568" s="23"/>
      <c r="J568" s="82">
        <f t="shared" si="60"/>
        <v>0</v>
      </c>
      <c r="K568" s="30"/>
      <c r="L568" s="83" t="str">
        <f t="shared" si="61"/>
        <v/>
      </c>
      <c r="M568" s="23"/>
      <c r="Q568" s="12"/>
      <c r="S568"/>
    </row>
    <row r="569" spans="1:19" x14ac:dyDescent="0.25">
      <c r="A569" s="12" t="str">
        <f t="shared" si="59"/>
        <v/>
      </c>
      <c r="B569" s="16"/>
      <c r="C569" s="17"/>
      <c r="D569" s="18"/>
      <c r="E569" s="29"/>
      <c r="F569" s="39"/>
      <c r="G569" s="40"/>
      <c r="H569" s="41"/>
      <c r="I569" s="42"/>
      <c r="J569" s="82">
        <f t="shared" si="60"/>
        <v>0</v>
      </c>
      <c r="K569" s="43"/>
      <c r="L569" s="83" t="str">
        <f t="shared" si="61"/>
        <v/>
      </c>
      <c r="M569" s="53"/>
      <c r="Q569" s="12"/>
      <c r="S569"/>
    </row>
    <row r="570" spans="1:19" x14ac:dyDescent="0.25">
      <c r="A570" s="12" t="str">
        <f t="shared" si="59"/>
        <v/>
      </c>
      <c r="B570" s="16"/>
      <c r="C570" s="17"/>
      <c r="D570" s="18"/>
      <c r="E570" s="29"/>
      <c r="F570" s="27"/>
      <c r="G570" s="28"/>
      <c r="H570" s="19"/>
      <c r="I570" s="23"/>
      <c r="J570" s="82">
        <f t="shared" si="60"/>
        <v>0</v>
      </c>
      <c r="K570" s="30"/>
      <c r="L570" s="83" t="str">
        <f t="shared" si="61"/>
        <v/>
      </c>
      <c r="M570" s="23"/>
      <c r="Q570" s="12"/>
      <c r="S570"/>
    </row>
    <row r="571" spans="1:19" x14ac:dyDescent="0.25">
      <c r="A571" s="12" t="str">
        <f t="shared" si="59"/>
        <v/>
      </c>
      <c r="B571" s="16"/>
      <c r="C571" s="17"/>
      <c r="D571" s="18"/>
      <c r="E571" s="29"/>
      <c r="F571" s="39"/>
      <c r="G571" s="40"/>
      <c r="H571" s="41"/>
      <c r="I571" s="42"/>
      <c r="J571" s="82">
        <f t="shared" si="60"/>
        <v>0</v>
      </c>
      <c r="K571" s="43"/>
      <c r="L571" s="83" t="str">
        <f t="shared" si="61"/>
        <v/>
      </c>
      <c r="M571" s="53"/>
      <c r="Q571" s="12"/>
      <c r="S571"/>
    </row>
    <row r="572" spans="1:19" x14ac:dyDescent="0.25">
      <c r="A572" s="12" t="str">
        <f t="shared" si="59"/>
        <v/>
      </c>
      <c r="B572" s="16"/>
      <c r="C572" s="17"/>
      <c r="D572" s="18"/>
      <c r="E572" s="29"/>
      <c r="F572" s="27"/>
      <c r="G572" s="28"/>
      <c r="H572" s="19"/>
      <c r="I572" s="23"/>
      <c r="J572" s="82">
        <f t="shared" si="60"/>
        <v>0</v>
      </c>
      <c r="K572" s="30"/>
      <c r="L572" s="83" t="str">
        <f t="shared" si="61"/>
        <v/>
      </c>
      <c r="M572" s="23"/>
      <c r="Q572" s="12"/>
      <c r="S572"/>
    </row>
    <row r="573" spans="1:19" x14ac:dyDescent="0.25">
      <c r="A573" s="12" t="str">
        <f t="shared" si="59"/>
        <v/>
      </c>
      <c r="B573" s="16"/>
      <c r="C573" s="17"/>
      <c r="D573" s="18"/>
      <c r="E573" s="29"/>
      <c r="F573" s="39"/>
      <c r="G573" s="40"/>
      <c r="H573" s="41"/>
      <c r="I573" s="42"/>
      <c r="J573" s="82">
        <f t="shared" si="60"/>
        <v>0</v>
      </c>
      <c r="K573" s="43"/>
      <c r="L573" s="83" t="str">
        <f t="shared" si="61"/>
        <v/>
      </c>
      <c r="M573" s="53"/>
      <c r="Q573" s="12"/>
      <c r="S573"/>
    </row>
    <row r="574" spans="1:19" x14ac:dyDescent="0.25">
      <c r="A574" s="12" t="str">
        <f t="shared" si="59"/>
        <v/>
      </c>
      <c r="B574" s="16"/>
      <c r="C574" s="17"/>
      <c r="D574" s="18"/>
      <c r="E574" s="29"/>
      <c r="F574" s="27"/>
      <c r="G574" s="28"/>
      <c r="H574" s="19"/>
      <c r="I574" s="23"/>
      <c r="J574" s="82">
        <f t="shared" si="60"/>
        <v>0</v>
      </c>
      <c r="K574" s="30"/>
      <c r="L574" s="83" t="str">
        <f t="shared" si="61"/>
        <v/>
      </c>
      <c r="M574" s="23"/>
      <c r="Q574" s="12"/>
      <c r="S574"/>
    </row>
    <row r="575" spans="1:19" x14ac:dyDescent="0.25">
      <c r="A575" s="12" t="str">
        <f t="shared" si="59"/>
        <v/>
      </c>
      <c r="B575" s="16"/>
      <c r="C575" s="17"/>
      <c r="D575" s="18"/>
      <c r="E575" s="29"/>
      <c r="F575" s="39"/>
      <c r="G575" s="40"/>
      <c r="H575" s="41"/>
      <c r="I575" s="42"/>
      <c r="J575" s="82">
        <f t="shared" si="60"/>
        <v>0</v>
      </c>
      <c r="K575" s="43"/>
      <c r="L575" s="83" t="str">
        <f t="shared" si="61"/>
        <v/>
      </c>
      <c r="M575" s="53"/>
      <c r="Q575" s="12"/>
      <c r="S575"/>
    </row>
    <row r="576" spans="1:19" x14ac:dyDescent="0.25">
      <c r="A576" s="12" t="str">
        <f t="shared" si="59"/>
        <v/>
      </c>
      <c r="B576" s="16"/>
      <c r="C576" s="17"/>
      <c r="D576" s="18"/>
      <c r="E576" s="29"/>
      <c r="F576" s="27"/>
      <c r="G576" s="28"/>
      <c r="H576" s="19"/>
      <c r="I576" s="23"/>
      <c r="J576" s="82">
        <f t="shared" si="60"/>
        <v>0</v>
      </c>
      <c r="K576" s="30"/>
      <c r="L576" s="83" t="str">
        <f t="shared" si="61"/>
        <v/>
      </c>
      <c r="M576" s="23"/>
      <c r="Q576" s="12"/>
      <c r="S576"/>
    </row>
    <row r="577" spans="1:19" x14ac:dyDescent="0.25">
      <c r="A577" s="12" t="str">
        <f t="shared" si="59"/>
        <v/>
      </c>
      <c r="B577" s="16"/>
      <c r="C577" s="17"/>
      <c r="D577" s="18"/>
      <c r="E577" s="29"/>
      <c r="F577" s="39"/>
      <c r="G577" s="40"/>
      <c r="H577" s="41"/>
      <c r="I577" s="42"/>
      <c r="J577" s="82">
        <f t="shared" si="60"/>
        <v>0</v>
      </c>
      <c r="K577" s="43"/>
      <c r="L577" s="83" t="str">
        <f t="shared" si="61"/>
        <v/>
      </c>
      <c r="M577" s="53"/>
      <c r="Q577" s="12"/>
      <c r="S577"/>
    </row>
    <row r="578" spans="1:19" x14ac:dyDescent="0.25">
      <c r="A578" s="12" t="str">
        <f t="shared" si="59"/>
        <v/>
      </c>
      <c r="B578" s="16"/>
      <c r="C578" s="17"/>
      <c r="D578" s="18"/>
      <c r="E578" s="29"/>
      <c r="F578" s="27"/>
      <c r="G578" s="28"/>
      <c r="H578" s="19"/>
      <c r="I578" s="23"/>
      <c r="J578" s="82">
        <f t="shared" si="60"/>
        <v>0</v>
      </c>
      <c r="K578" s="30"/>
      <c r="L578" s="83" t="str">
        <f t="shared" si="61"/>
        <v/>
      </c>
      <c r="M578" s="23"/>
      <c r="Q578" s="12"/>
      <c r="S578"/>
    </row>
    <row r="579" spans="1:19" x14ac:dyDescent="0.25">
      <c r="A579" s="12" t="str">
        <f t="shared" si="59"/>
        <v/>
      </c>
      <c r="B579" s="16"/>
      <c r="C579" s="17"/>
      <c r="D579" s="18"/>
      <c r="E579" s="29"/>
      <c r="F579" s="39"/>
      <c r="G579" s="40"/>
      <c r="H579" s="41"/>
      <c r="I579" s="42"/>
      <c r="J579" s="82">
        <f t="shared" si="60"/>
        <v>0</v>
      </c>
      <c r="K579" s="43"/>
      <c r="L579" s="83" t="str">
        <f t="shared" si="61"/>
        <v/>
      </c>
      <c r="M579" s="53"/>
      <c r="Q579" s="12"/>
      <c r="S579"/>
    </row>
    <row r="580" spans="1:19" x14ac:dyDescent="0.25">
      <c r="A580" s="12" t="str">
        <f t="shared" si="59"/>
        <v/>
      </c>
      <c r="B580" s="16"/>
      <c r="C580" s="17"/>
      <c r="D580" s="18"/>
      <c r="E580" s="29"/>
      <c r="F580" s="27"/>
      <c r="G580" s="28"/>
      <c r="H580" s="19"/>
      <c r="I580" s="23"/>
      <c r="J580" s="82">
        <f t="shared" si="60"/>
        <v>0</v>
      </c>
      <c r="K580" s="30"/>
      <c r="L580" s="83" t="str">
        <f t="shared" si="61"/>
        <v/>
      </c>
      <c r="M580" s="23"/>
      <c r="Q580" s="12"/>
      <c r="S580"/>
    </row>
    <row r="581" spans="1:19" x14ac:dyDescent="0.25">
      <c r="A581" s="12" t="str">
        <f t="shared" si="59"/>
        <v/>
      </c>
      <c r="B581" s="16"/>
      <c r="C581" s="17"/>
      <c r="D581" s="18"/>
      <c r="E581" s="29"/>
      <c r="F581" s="39"/>
      <c r="G581" s="40"/>
      <c r="H581" s="41"/>
      <c r="I581" s="42"/>
      <c r="J581" s="82">
        <f t="shared" si="60"/>
        <v>0</v>
      </c>
      <c r="K581" s="43"/>
      <c r="L581" s="83" t="str">
        <f t="shared" si="61"/>
        <v/>
      </c>
      <c r="M581" s="53"/>
      <c r="Q581" s="12"/>
      <c r="S581"/>
    </row>
    <row r="582" spans="1:19" x14ac:dyDescent="0.25">
      <c r="A582" s="12" t="str">
        <f t="shared" si="59"/>
        <v/>
      </c>
      <c r="B582" s="16"/>
      <c r="C582" s="17"/>
      <c r="D582" s="18"/>
      <c r="E582" s="29"/>
      <c r="F582" s="27"/>
      <c r="G582" s="28"/>
      <c r="H582" s="19"/>
      <c r="I582" s="23"/>
      <c r="J582" s="82">
        <f t="shared" si="60"/>
        <v>0</v>
      </c>
      <c r="K582" s="30"/>
      <c r="L582" s="83" t="str">
        <f t="shared" si="61"/>
        <v/>
      </c>
      <c r="M582" s="23"/>
      <c r="Q582" s="12"/>
      <c r="S582"/>
    </row>
    <row r="583" spans="1:19" x14ac:dyDescent="0.25">
      <c r="A583" s="12" t="str">
        <f t="shared" si="59"/>
        <v/>
      </c>
      <c r="B583" s="16"/>
      <c r="C583" s="17"/>
      <c r="D583" s="18"/>
      <c r="E583" s="29"/>
      <c r="F583" s="39"/>
      <c r="G583" s="40"/>
      <c r="H583" s="41"/>
      <c r="I583" s="42"/>
      <c r="J583" s="82">
        <f t="shared" si="60"/>
        <v>0</v>
      </c>
      <c r="K583" s="43"/>
      <c r="L583" s="83" t="str">
        <f t="shared" si="61"/>
        <v/>
      </c>
      <c r="M583" s="53"/>
      <c r="Q583" s="12"/>
      <c r="S583"/>
    </row>
    <row r="584" spans="1:19" x14ac:dyDescent="0.25">
      <c r="A584" s="12" t="str">
        <f t="shared" si="59"/>
        <v/>
      </c>
      <c r="B584" s="16"/>
      <c r="C584" s="17"/>
      <c r="D584" s="18"/>
      <c r="E584" s="29"/>
      <c r="F584" s="27"/>
      <c r="G584" s="28"/>
      <c r="H584" s="19"/>
      <c r="I584" s="23"/>
      <c r="J584" s="82">
        <f t="shared" si="60"/>
        <v>0</v>
      </c>
      <c r="K584" s="30"/>
      <c r="L584" s="83" t="str">
        <f t="shared" si="61"/>
        <v/>
      </c>
      <c r="M584" s="23"/>
      <c r="Q584" s="12"/>
      <c r="S584"/>
    </row>
    <row r="585" spans="1:19" x14ac:dyDescent="0.25">
      <c r="A585" s="12" t="str">
        <f t="shared" si="59"/>
        <v/>
      </c>
      <c r="B585" s="16"/>
      <c r="C585" s="17"/>
      <c r="D585" s="18"/>
      <c r="E585" s="29"/>
      <c r="F585" s="39"/>
      <c r="G585" s="40"/>
      <c r="H585" s="41"/>
      <c r="I585" s="42"/>
      <c r="J585" s="82">
        <f t="shared" si="60"/>
        <v>0</v>
      </c>
      <c r="K585" s="43"/>
      <c r="L585" s="83" t="str">
        <f t="shared" si="61"/>
        <v/>
      </c>
      <c r="M585" s="53"/>
      <c r="Q585" s="12"/>
      <c r="S585"/>
    </row>
    <row r="586" spans="1:19" x14ac:dyDescent="0.25">
      <c r="A586" s="12" t="str">
        <f t="shared" si="59"/>
        <v/>
      </c>
      <c r="B586" s="16"/>
      <c r="C586" s="17"/>
      <c r="D586" s="18"/>
      <c r="E586" s="29"/>
      <c r="F586" s="27"/>
      <c r="G586" s="28"/>
      <c r="H586" s="19"/>
      <c r="I586" s="23"/>
      <c r="J586" s="82">
        <f t="shared" si="60"/>
        <v>0</v>
      </c>
      <c r="K586" s="30"/>
      <c r="L586" s="83" t="str">
        <f t="shared" si="61"/>
        <v/>
      </c>
      <c r="M586" s="23"/>
      <c r="Q586" s="12"/>
      <c r="S586"/>
    </row>
    <row r="587" spans="1:19" x14ac:dyDescent="0.25">
      <c r="A587" s="12" t="str">
        <f t="shared" si="59"/>
        <v/>
      </c>
      <c r="B587" s="16"/>
      <c r="C587" s="17"/>
      <c r="D587" s="18"/>
      <c r="E587" s="29"/>
      <c r="F587" s="39"/>
      <c r="G587" s="40"/>
      <c r="H587" s="41"/>
      <c r="I587" s="42"/>
      <c r="J587" s="82">
        <f t="shared" si="60"/>
        <v>0</v>
      </c>
      <c r="K587" s="43"/>
      <c r="L587" s="83" t="str">
        <f t="shared" si="61"/>
        <v/>
      </c>
      <c r="M587" s="53"/>
      <c r="Q587" s="12"/>
      <c r="S587"/>
    </row>
    <row r="588" spans="1:19" x14ac:dyDescent="0.25">
      <c r="A588" s="12" t="str">
        <f t="shared" si="59"/>
        <v/>
      </c>
      <c r="B588" s="16"/>
      <c r="C588" s="17"/>
      <c r="D588" s="18"/>
      <c r="E588" s="29"/>
      <c r="F588" s="27"/>
      <c r="G588" s="28"/>
      <c r="H588" s="19"/>
      <c r="I588" s="23"/>
      <c r="J588" s="82">
        <f t="shared" si="60"/>
        <v>0</v>
      </c>
      <c r="K588" s="30"/>
      <c r="L588" s="83" t="str">
        <f t="shared" si="61"/>
        <v/>
      </c>
      <c r="M588" s="23"/>
      <c r="Q588" s="12"/>
      <c r="S588"/>
    </row>
    <row r="589" spans="1:19" x14ac:dyDescent="0.25">
      <c r="A589" s="12" t="str">
        <f t="shared" si="59"/>
        <v/>
      </c>
      <c r="B589" s="16"/>
      <c r="C589" s="17"/>
      <c r="D589" s="18"/>
      <c r="E589" s="29"/>
      <c r="F589" s="39"/>
      <c r="G589" s="40"/>
      <c r="H589" s="41"/>
      <c r="I589" s="42"/>
      <c r="J589" s="82">
        <f t="shared" si="60"/>
        <v>0</v>
      </c>
      <c r="K589" s="43"/>
      <c r="L589" s="83" t="str">
        <f t="shared" si="61"/>
        <v/>
      </c>
      <c r="M589" s="53"/>
      <c r="Q589" s="12"/>
      <c r="S589"/>
    </row>
    <row r="590" spans="1:19" x14ac:dyDescent="0.25">
      <c r="A590" s="12" t="str">
        <f t="shared" si="59"/>
        <v/>
      </c>
      <c r="B590" s="16"/>
      <c r="C590" s="17"/>
      <c r="D590" s="18"/>
      <c r="E590" s="29"/>
      <c r="F590" s="27"/>
      <c r="G590" s="28"/>
      <c r="H590" s="19"/>
      <c r="I590" s="23"/>
      <c r="J590" s="82">
        <f t="shared" si="60"/>
        <v>0</v>
      </c>
      <c r="K590" s="30"/>
      <c r="L590" s="83" t="str">
        <f t="shared" si="61"/>
        <v/>
      </c>
      <c r="M590" s="23"/>
      <c r="Q590" s="12"/>
      <c r="S590"/>
    </row>
    <row r="591" spans="1:19" x14ac:dyDescent="0.25">
      <c r="A591" s="12" t="str">
        <f t="shared" si="59"/>
        <v/>
      </c>
      <c r="B591" s="16"/>
      <c r="C591" s="17"/>
      <c r="D591" s="18"/>
      <c r="E591" s="29"/>
      <c r="F591" s="39"/>
      <c r="G591" s="40"/>
      <c r="H591" s="41"/>
      <c r="I591" s="42"/>
      <c r="J591" s="82">
        <f t="shared" si="60"/>
        <v>0</v>
      </c>
      <c r="K591" s="43"/>
      <c r="L591" s="83" t="str">
        <f t="shared" si="61"/>
        <v/>
      </c>
      <c r="M591" s="53"/>
      <c r="Q591" s="12"/>
      <c r="S591"/>
    </row>
    <row r="592" spans="1:19" x14ac:dyDescent="0.25">
      <c r="A592" s="12" t="str">
        <f t="shared" si="59"/>
        <v/>
      </c>
      <c r="B592" s="16"/>
      <c r="C592" s="17"/>
      <c r="D592" s="18"/>
      <c r="E592" s="29"/>
      <c r="F592" s="27"/>
      <c r="G592" s="28"/>
      <c r="H592" s="19"/>
      <c r="I592" s="23"/>
      <c r="J592" s="82">
        <f t="shared" si="60"/>
        <v>0</v>
      </c>
      <c r="K592" s="30"/>
      <c r="L592" s="83" t="str">
        <f t="shared" si="61"/>
        <v/>
      </c>
      <c r="M592" s="23"/>
      <c r="Q592" s="12"/>
      <c r="S592"/>
    </row>
    <row r="593" spans="1:19" x14ac:dyDescent="0.25">
      <c r="A593" s="12" t="str">
        <f t="shared" si="59"/>
        <v/>
      </c>
      <c r="B593" s="16"/>
      <c r="C593" s="17"/>
      <c r="D593" s="18"/>
      <c r="E593" s="29"/>
      <c r="F593" s="39"/>
      <c r="G593" s="40"/>
      <c r="H593" s="41"/>
      <c r="I593" s="42"/>
      <c r="J593" s="82">
        <f t="shared" si="60"/>
        <v>0</v>
      </c>
      <c r="K593" s="43"/>
      <c r="L593" s="83" t="str">
        <f t="shared" si="61"/>
        <v/>
      </c>
      <c r="M593" s="53"/>
      <c r="Q593" s="12"/>
      <c r="S593"/>
    </row>
    <row r="594" spans="1:19" x14ac:dyDescent="0.25">
      <c r="A594" s="12" t="str">
        <f t="shared" si="59"/>
        <v/>
      </c>
      <c r="B594" s="16"/>
      <c r="C594" s="17"/>
      <c r="D594" s="18"/>
      <c r="E594" s="29"/>
      <c r="F594" s="27"/>
      <c r="G594" s="28"/>
      <c r="H594" s="19"/>
      <c r="I594" s="23"/>
      <c r="J594" s="82">
        <f t="shared" si="60"/>
        <v>0</v>
      </c>
      <c r="K594" s="30"/>
      <c r="L594" s="83" t="str">
        <f t="shared" si="61"/>
        <v/>
      </c>
      <c r="M594" s="23"/>
      <c r="Q594" s="12"/>
      <c r="S594"/>
    </row>
    <row r="595" spans="1:19" x14ac:dyDescent="0.25">
      <c r="A595" s="12" t="str">
        <f t="shared" si="59"/>
        <v/>
      </c>
      <c r="B595" s="16"/>
      <c r="C595" s="17"/>
      <c r="D595" s="18"/>
      <c r="E595" s="29"/>
      <c r="F595" s="39"/>
      <c r="G595" s="40"/>
      <c r="H595" s="41"/>
      <c r="I595" s="42"/>
      <c r="J595" s="82">
        <f t="shared" si="60"/>
        <v>0</v>
      </c>
      <c r="K595" s="43"/>
      <c r="L595" s="83" t="str">
        <f t="shared" si="61"/>
        <v/>
      </c>
      <c r="M595" s="53"/>
      <c r="Q595" s="12"/>
      <c r="S595"/>
    </row>
    <row r="596" spans="1:19" x14ac:dyDescent="0.25">
      <c r="A596" s="12" t="str">
        <f t="shared" si="59"/>
        <v/>
      </c>
      <c r="B596" s="16"/>
      <c r="C596" s="17"/>
      <c r="D596" s="18"/>
      <c r="E596" s="29"/>
      <c r="F596" s="27"/>
      <c r="G596" s="28"/>
      <c r="H596" s="19"/>
      <c r="I596" s="23"/>
      <c r="J596" s="82">
        <f t="shared" si="60"/>
        <v>0</v>
      </c>
      <c r="K596" s="30"/>
      <c r="L596" s="83" t="str">
        <f t="shared" si="61"/>
        <v/>
      </c>
      <c r="M596" s="23"/>
      <c r="Q596" s="12"/>
      <c r="S596"/>
    </row>
    <row r="597" spans="1:19" x14ac:dyDescent="0.25">
      <c r="A597" s="12" t="str">
        <f t="shared" si="59"/>
        <v/>
      </c>
      <c r="B597" s="16"/>
      <c r="C597" s="17"/>
      <c r="D597" s="18"/>
      <c r="E597" s="29"/>
      <c r="F597" s="39"/>
      <c r="G597" s="40"/>
      <c r="H597" s="41"/>
      <c r="I597" s="42"/>
      <c r="J597" s="82">
        <f t="shared" si="60"/>
        <v>0</v>
      </c>
      <c r="K597" s="43"/>
      <c r="L597" s="83" t="str">
        <f t="shared" si="61"/>
        <v/>
      </c>
      <c r="M597" s="53"/>
      <c r="Q597" s="12"/>
      <c r="S597"/>
    </row>
    <row r="598" spans="1:19" x14ac:dyDescent="0.25">
      <c r="A598" s="12" t="str">
        <f t="shared" si="59"/>
        <v/>
      </c>
      <c r="B598" s="16"/>
      <c r="C598" s="17"/>
      <c r="D598" s="18"/>
      <c r="E598" s="29"/>
      <c r="F598" s="27"/>
      <c r="G598" s="28"/>
      <c r="H598" s="19"/>
      <c r="I598" s="23"/>
      <c r="J598" s="82">
        <f t="shared" si="60"/>
        <v>0</v>
      </c>
      <c r="K598" s="30"/>
      <c r="L598" s="83" t="str">
        <f t="shared" si="61"/>
        <v/>
      </c>
      <c r="M598" s="23"/>
      <c r="Q598" s="12"/>
      <c r="S598"/>
    </row>
    <row r="599" spans="1:19" x14ac:dyDescent="0.25">
      <c r="A599" s="12" t="str">
        <f t="shared" si="59"/>
        <v/>
      </c>
      <c r="B599" s="16"/>
      <c r="C599" s="17"/>
      <c r="D599" s="18"/>
      <c r="E599" s="29"/>
      <c r="F599" s="39"/>
      <c r="G599" s="40"/>
      <c r="H599" s="41"/>
      <c r="I599" s="42"/>
      <c r="J599" s="82">
        <f t="shared" si="60"/>
        <v>0</v>
      </c>
      <c r="K599" s="43"/>
      <c r="L599" s="83" t="str">
        <f t="shared" si="61"/>
        <v/>
      </c>
      <c r="M599" s="53"/>
      <c r="Q599" s="12"/>
      <c r="S599"/>
    </row>
    <row r="600" spans="1:19" x14ac:dyDescent="0.25">
      <c r="A600" s="12" t="str">
        <f t="shared" si="59"/>
        <v/>
      </c>
      <c r="B600" s="16"/>
      <c r="C600" s="17"/>
      <c r="D600" s="18"/>
      <c r="E600" s="29"/>
      <c r="F600" s="27"/>
      <c r="G600" s="28"/>
      <c r="H600" s="19"/>
      <c r="I600" s="23"/>
      <c r="J600" s="82">
        <f t="shared" si="60"/>
        <v>0</v>
      </c>
      <c r="K600" s="30"/>
      <c r="L600" s="83" t="str">
        <f t="shared" si="61"/>
        <v/>
      </c>
      <c r="M600" s="23"/>
      <c r="Q600" s="12"/>
      <c r="S600"/>
    </row>
    <row r="601" spans="1:19" x14ac:dyDescent="0.25">
      <c r="A601" s="12" t="str">
        <f t="shared" si="59"/>
        <v/>
      </c>
      <c r="B601" s="16"/>
      <c r="C601" s="17"/>
      <c r="D601" s="18"/>
      <c r="E601" s="29"/>
      <c r="F601" s="39"/>
      <c r="G601" s="40"/>
      <c r="H601" s="41"/>
      <c r="I601" s="42"/>
      <c r="J601" s="82">
        <f t="shared" si="60"/>
        <v>0</v>
      </c>
      <c r="K601" s="43"/>
      <c r="L601" s="83" t="str">
        <f t="shared" si="61"/>
        <v/>
      </c>
      <c r="M601" s="53"/>
      <c r="Q601" s="12"/>
      <c r="S601"/>
    </row>
    <row r="602" spans="1:19" x14ac:dyDescent="0.25">
      <c r="A602" s="12" t="str">
        <f t="shared" si="59"/>
        <v/>
      </c>
      <c r="B602" s="16"/>
      <c r="C602" s="17"/>
      <c r="D602" s="18"/>
      <c r="E602" s="29"/>
      <c r="F602" s="27"/>
      <c r="G602" s="28"/>
      <c r="H602" s="19"/>
      <c r="I602" s="23"/>
      <c r="J602" s="82">
        <f t="shared" si="60"/>
        <v>0</v>
      </c>
      <c r="K602" s="30"/>
      <c r="L602" s="83" t="str">
        <f t="shared" si="61"/>
        <v/>
      </c>
      <c r="M602" s="23"/>
      <c r="Q602" s="12"/>
      <c r="S602"/>
    </row>
    <row r="603" spans="1:19" x14ac:dyDescent="0.25">
      <c r="A603" s="12" t="str">
        <f t="shared" si="59"/>
        <v/>
      </c>
      <c r="B603" s="16"/>
      <c r="C603" s="17"/>
      <c r="D603" s="18"/>
      <c r="E603" s="29"/>
      <c r="F603" s="39"/>
      <c r="G603" s="40"/>
      <c r="H603" s="41"/>
      <c r="I603" s="42"/>
      <c r="J603" s="82">
        <f t="shared" si="60"/>
        <v>0</v>
      </c>
      <c r="K603" s="43"/>
      <c r="L603" s="83" t="str">
        <f t="shared" si="61"/>
        <v/>
      </c>
      <c r="M603" s="53"/>
      <c r="Q603" s="12"/>
      <c r="S603"/>
    </row>
    <row r="604" spans="1:19" x14ac:dyDescent="0.25">
      <c r="A604" s="12" t="str">
        <f t="shared" si="59"/>
        <v/>
      </c>
      <c r="B604" s="16"/>
      <c r="C604" s="17"/>
      <c r="D604" s="18"/>
      <c r="E604" s="29"/>
      <c r="F604" s="27"/>
      <c r="G604" s="28"/>
      <c r="H604" s="19"/>
      <c r="I604" s="23"/>
      <c r="J604" s="82">
        <f t="shared" si="60"/>
        <v>0</v>
      </c>
      <c r="K604" s="30"/>
      <c r="L604" s="83" t="str">
        <f t="shared" si="61"/>
        <v/>
      </c>
      <c r="M604" s="23"/>
      <c r="Q604" s="12"/>
      <c r="S604"/>
    </row>
    <row r="605" spans="1:19" x14ac:dyDescent="0.25">
      <c r="A605" s="12" t="str">
        <f t="shared" si="59"/>
        <v/>
      </c>
      <c r="B605" s="16"/>
      <c r="C605" s="17"/>
      <c r="D605" s="18"/>
      <c r="E605" s="29"/>
      <c r="F605" s="39"/>
      <c r="G605" s="40"/>
      <c r="H605" s="41"/>
      <c r="I605" s="42"/>
      <c r="J605" s="82">
        <f t="shared" si="60"/>
        <v>0</v>
      </c>
      <c r="K605" s="43"/>
      <c r="L605" s="83" t="str">
        <f t="shared" si="61"/>
        <v/>
      </c>
      <c r="M605" s="53"/>
      <c r="Q605" s="12"/>
      <c r="S605"/>
    </row>
    <row r="606" spans="1:19" x14ac:dyDescent="0.25">
      <c r="A606" s="12" t="str">
        <f t="shared" si="59"/>
        <v/>
      </c>
      <c r="B606" s="16"/>
      <c r="C606" s="17"/>
      <c r="D606" s="18"/>
      <c r="E606" s="29"/>
      <c r="F606" s="27"/>
      <c r="G606" s="28"/>
      <c r="H606" s="19"/>
      <c r="I606" s="23"/>
      <c r="J606" s="82">
        <f t="shared" si="60"/>
        <v>0</v>
      </c>
      <c r="K606" s="30"/>
      <c r="L606" s="83" t="str">
        <f t="shared" si="61"/>
        <v/>
      </c>
      <c r="M606" s="23"/>
      <c r="Q606" s="12"/>
      <c r="S606"/>
    </row>
    <row r="607" spans="1:19" x14ac:dyDescent="0.25">
      <c r="A607" s="12" t="str">
        <f t="shared" si="59"/>
        <v/>
      </c>
      <c r="B607" s="16"/>
      <c r="C607" s="17"/>
      <c r="D607" s="18"/>
      <c r="E607" s="29"/>
      <c r="F607" s="39"/>
      <c r="G607" s="40"/>
      <c r="H607" s="41"/>
      <c r="I607" s="42"/>
      <c r="J607" s="82">
        <f t="shared" si="60"/>
        <v>0</v>
      </c>
      <c r="K607" s="43"/>
      <c r="L607" s="83" t="str">
        <f t="shared" si="61"/>
        <v/>
      </c>
      <c r="M607" s="53"/>
      <c r="Q607" s="12"/>
      <c r="S607"/>
    </row>
    <row r="608" spans="1:19" x14ac:dyDescent="0.25">
      <c r="A608" s="12" t="str">
        <f t="shared" si="59"/>
        <v/>
      </c>
      <c r="B608" s="16"/>
      <c r="C608" s="17"/>
      <c r="D608" s="18"/>
      <c r="E608" s="29"/>
      <c r="F608" s="27"/>
      <c r="G608" s="28"/>
      <c r="H608" s="19"/>
      <c r="I608" s="23"/>
      <c r="J608" s="82">
        <f t="shared" si="60"/>
        <v>0</v>
      </c>
      <c r="K608" s="30"/>
      <c r="L608" s="83" t="str">
        <f t="shared" si="61"/>
        <v/>
      </c>
      <c r="M608" s="23"/>
      <c r="Q608" s="12"/>
      <c r="S608"/>
    </row>
    <row r="609" spans="1:19" x14ac:dyDescent="0.25">
      <c r="A609" s="12" t="str">
        <f t="shared" si="59"/>
        <v/>
      </c>
      <c r="B609" s="16"/>
      <c r="C609" s="17"/>
      <c r="D609" s="18"/>
      <c r="E609" s="29"/>
      <c r="F609" s="39"/>
      <c r="G609" s="40"/>
      <c r="H609" s="41"/>
      <c r="I609" s="42"/>
      <c r="J609" s="82">
        <f t="shared" si="60"/>
        <v>0</v>
      </c>
      <c r="K609" s="43"/>
      <c r="L609" s="83" t="str">
        <f t="shared" si="61"/>
        <v/>
      </c>
      <c r="M609" s="53"/>
      <c r="Q609" s="12"/>
      <c r="S609"/>
    </row>
    <row r="610" spans="1:19" x14ac:dyDescent="0.25">
      <c r="A610" s="12" t="str">
        <f t="shared" si="59"/>
        <v/>
      </c>
      <c r="B610" s="16"/>
      <c r="C610" s="17"/>
      <c r="D610" s="18"/>
      <c r="E610" s="29"/>
      <c r="F610" s="27"/>
      <c r="G610" s="28"/>
      <c r="H610" s="19"/>
      <c r="I610" s="23"/>
      <c r="J610" s="82">
        <f t="shared" si="60"/>
        <v>0</v>
      </c>
      <c r="K610" s="30"/>
      <c r="L610" s="83" t="str">
        <f t="shared" si="61"/>
        <v/>
      </c>
      <c r="M610" s="23"/>
      <c r="Q610" s="12"/>
      <c r="S610"/>
    </row>
    <row r="611" spans="1:19" x14ac:dyDescent="0.25">
      <c r="A611" s="12" t="str">
        <f t="shared" si="59"/>
        <v/>
      </c>
      <c r="B611" s="16"/>
      <c r="C611" s="17"/>
      <c r="D611" s="18"/>
      <c r="E611" s="29"/>
      <c r="F611" s="39"/>
      <c r="G611" s="40"/>
      <c r="H611" s="41"/>
      <c r="I611" s="42"/>
      <c r="J611" s="82">
        <f t="shared" si="60"/>
        <v>0</v>
      </c>
      <c r="K611" s="43"/>
      <c r="L611" s="83" t="str">
        <f t="shared" si="61"/>
        <v/>
      </c>
      <c r="M611" s="53"/>
      <c r="Q611" s="12"/>
      <c r="S611"/>
    </row>
    <row r="612" spans="1:19" x14ac:dyDescent="0.25">
      <c r="A612" s="12" t="str">
        <f t="shared" si="59"/>
        <v/>
      </c>
      <c r="B612" s="16"/>
      <c r="C612" s="17"/>
      <c r="D612" s="18"/>
      <c r="E612" s="29"/>
      <c r="F612" s="27"/>
      <c r="G612" s="28"/>
      <c r="H612" s="19"/>
      <c r="I612" s="23"/>
      <c r="J612" s="82">
        <f t="shared" si="60"/>
        <v>0</v>
      </c>
      <c r="K612" s="30"/>
      <c r="L612" s="83" t="str">
        <f t="shared" si="61"/>
        <v/>
      </c>
      <c r="M612" s="23"/>
      <c r="Q612" s="12"/>
      <c r="S612"/>
    </row>
    <row r="613" spans="1:19" x14ac:dyDescent="0.25">
      <c r="A613" s="12" t="str">
        <f t="shared" si="59"/>
        <v/>
      </c>
      <c r="B613" s="16"/>
      <c r="C613" s="17"/>
      <c r="D613" s="18"/>
      <c r="E613" s="29"/>
      <c r="F613" s="39"/>
      <c r="G613" s="40"/>
      <c r="H613" s="41"/>
      <c r="I613" s="42"/>
      <c r="J613" s="82">
        <f t="shared" si="60"/>
        <v>0</v>
      </c>
      <c r="K613" s="43"/>
      <c r="L613" s="83" t="str">
        <f t="shared" si="61"/>
        <v/>
      </c>
      <c r="M613" s="53"/>
      <c r="Q613" s="12"/>
      <c r="S613"/>
    </row>
    <row r="614" spans="1:19" x14ac:dyDescent="0.25">
      <c r="A614" s="12" t="str">
        <f t="shared" si="59"/>
        <v/>
      </c>
      <c r="B614" s="16"/>
      <c r="C614" s="17"/>
      <c r="D614" s="18"/>
      <c r="E614" s="29"/>
      <c r="F614" s="27"/>
      <c r="G614" s="28"/>
      <c r="H614" s="19"/>
      <c r="I614" s="23"/>
      <c r="J614" s="82">
        <f t="shared" si="60"/>
        <v>0</v>
      </c>
      <c r="K614" s="30"/>
      <c r="L614" s="83" t="str">
        <f t="shared" si="61"/>
        <v/>
      </c>
      <c r="M614" s="23"/>
      <c r="Q614" s="12"/>
      <c r="S614"/>
    </row>
    <row r="615" spans="1:19" x14ac:dyDescent="0.25">
      <c r="A615" s="12" t="str">
        <f t="shared" si="59"/>
        <v/>
      </c>
      <c r="B615" s="16"/>
      <c r="C615" s="17"/>
      <c r="D615" s="18"/>
      <c r="E615" s="29"/>
      <c r="F615" s="39"/>
      <c r="G615" s="40"/>
      <c r="H615" s="41"/>
      <c r="I615" s="42"/>
      <c r="J615" s="82">
        <f t="shared" si="60"/>
        <v>0</v>
      </c>
      <c r="K615" s="43"/>
      <c r="L615" s="83" t="str">
        <f t="shared" si="61"/>
        <v/>
      </c>
      <c r="M615" s="53"/>
      <c r="Q615" s="12"/>
      <c r="S615"/>
    </row>
    <row r="616" spans="1:19" x14ac:dyDescent="0.25">
      <c r="A616" s="12" t="str">
        <f t="shared" si="59"/>
        <v/>
      </c>
      <c r="B616" s="16"/>
      <c r="C616" s="17"/>
      <c r="D616" s="18"/>
      <c r="E616" s="29"/>
      <c r="F616" s="27"/>
      <c r="G616" s="28"/>
      <c r="H616" s="19"/>
      <c r="I616" s="23"/>
      <c r="J616" s="82">
        <f t="shared" si="60"/>
        <v>0</v>
      </c>
      <c r="K616" s="30"/>
      <c r="L616" s="83" t="str">
        <f t="shared" si="61"/>
        <v/>
      </c>
      <c r="M616" s="23"/>
      <c r="Q616" s="12"/>
      <c r="S616"/>
    </row>
    <row r="617" spans="1:19" x14ac:dyDescent="0.25">
      <c r="A617" s="12" t="str">
        <f t="shared" si="59"/>
        <v/>
      </c>
      <c r="B617" s="16"/>
      <c r="C617" s="17"/>
      <c r="D617" s="18"/>
      <c r="E617" s="29"/>
      <c r="F617" s="39"/>
      <c r="G617" s="40"/>
      <c r="H617" s="41"/>
      <c r="I617" s="42"/>
      <c r="J617" s="82">
        <f t="shared" si="60"/>
        <v>0</v>
      </c>
      <c r="K617" s="43"/>
      <c r="L617" s="83" t="str">
        <f t="shared" si="61"/>
        <v/>
      </c>
      <c r="M617" s="53"/>
      <c r="Q617" s="12"/>
      <c r="S617"/>
    </row>
    <row r="618" spans="1:19" x14ac:dyDescent="0.25">
      <c r="A618" s="12" t="str">
        <f t="shared" si="59"/>
        <v/>
      </c>
      <c r="B618" s="16"/>
      <c r="C618" s="17"/>
      <c r="D618" s="18"/>
      <c r="E618" s="29"/>
      <c r="F618" s="27"/>
      <c r="G618" s="28"/>
      <c r="H618" s="19"/>
      <c r="I618" s="23"/>
      <c r="J618" s="82">
        <f t="shared" si="60"/>
        <v>0</v>
      </c>
      <c r="K618" s="30"/>
      <c r="L618" s="83" t="str">
        <f t="shared" si="61"/>
        <v/>
      </c>
      <c r="M618" s="23"/>
      <c r="Q618" s="12"/>
      <c r="S618"/>
    </row>
    <row r="619" spans="1:19" x14ac:dyDescent="0.25">
      <c r="A619" s="12" t="str">
        <f t="shared" si="59"/>
        <v/>
      </c>
      <c r="B619" s="16"/>
      <c r="C619" s="17"/>
      <c r="D619" s="18"/>
      <c r="E619" s="29"/>
      <c r="F619" s="39"/>
      <c r="G619" s="40"/>
      <c r="H619" s="41"/>
      <c r="I619" s="42"/>
      <c r="J619" s="82">
        <f t="shared" si="60"/>
        <v>0</v>
      </c>
      <c r="K619" s="43"/>
      <c r="L619" s="83" t="str">
        <f t="shared" si="61"/>
        <v/>
      </c>
      <c r="M619" s="53"/>
      <c r="Q619" s="12"/>
      <c r="S619"/>
    </row>
    <row r="620" spans="1:19" x14ac:dyDescent="0.25">
      <c r="A620" s="12" t="str">
        <f t="shared" si="59"/>
        <v/>
      </c>
      <c r="B620" s="16"/>
      <c r="C620" s="17"/>
      <c r="D620" s="18"/>
      <c r="E620" s="29"/>
      <c r="F620" s="27"/>
      <c r="G620" s="28"/>
      <c r="H620" s="19"/>
      <c r="I620" s="23"/>
      <c r="J620" s="82">
        <f t="shared" si="60"/>
        <v>0</v>
      </c>
      <c r="K620" s="30"/>
      <c r="L620" s="83" t="str">
        <f t="shared" si="61"/>
        <v/>
      </c>
      <c r="M620" s="23"/>
      <c r="Q620" s="12"/>
      <c r="S620"/>
    </row>
    <row r="621" spans="1:19" x14ac:dyDescent="0.25">
      <c r="A621" s="12" t="str">
        <f t="shared" si="59"/>
        <v/>
      </c>
      <c r="B621" s="16"/>
      <c r="C621" s="17"/>
      <c r="D621" s="18"/>
      <c r="E621" s="29"/>
      <c r="F621" s="39"/>
      <c r="G621" s="40"/>
      <c r="H621" s="41"/>
      <c r="I621" s="42"/>
      <c r="J621" s="82">
        <f t="shared" si="60"/>
        <v>0</v>
      </c>
      <c r="K621" s="43"/>
      <c r="L621" s="83" t="str">
        <f t="shared" si="61"/>
        <v/>
      </c>
      <c r="M621" s="53"/>
      <c r="Q621" s="12"/>
      <c r="S621"/>
    </row>
    <row r="622" spans="1:19" x14ac:dyDescent="0.25">
      <c r="A622" s="12" t="str">
        <f t="shared" si="59"/>
        <v/>
      </c>
      <c r="B622" s="16"/>
      <c r="C622" s="17"/>
      <c r="D622" s="18"/>
      <c r="E622" s="29"/>
      <c r="F622" s="27"/>
      <c r="G622" s="28"/>
      <c r="H622" s="19"/>
      <c r="I622" s="23"/>
      <c r="J622" s="82">
        <f t="shared" si="60"/>
        <v>0</v>
      </c>
      <c r="K622" s="30"/>
      <c r="L622" s="83" t="str">
        <f t="shared" si="61"/>
        <v/>
      </c>
      <c r="M622" s="23"/>
      <c r="Q622" s="12"/>
      <c r="S622"/>
    </row>
    <row r="623" spans="1:19" x14ac:dyDescent="0.25">
      <c r="A623" s="12" t="str">
        <f t="shared" si="59"/>
        <v/>
      </c>
      <c r="B623" s="16"/>
      <c r="C623" s="17"/>
      <c r="D623" s="18"/>
      <c r="E623" s="29"/>
      <c r="F623" s="39"/>
      <c r="G623" s="40"/>
      <c r="H623" s="41"/>
      <c r="I623" s="42"/>
      <c r="J623" s="82">
        <f t="shared" si="60"/>
        <v>0</v>
      </c>
      <c r="K623" s="43"/>
      <c r="L623" s="83" t="str">
        <f t="shared" si="61"/>
        <v/>
      </c>
      <c r="M623" s="53"/>
      <c r="Q623" s="12"/>
      <c r="S623"/>
    </row>
    <row r="624" spans="1:19" x14ac:dyDescent="0.25">
      <c r="A624" s="12" t="str">
        <f t="shared" si="59"/>
        <v/>
      </c>
      <c r="B624" s="16"/>
      <c r="C624" s="17"/>
      <c r="D624" s="18"/>
      <c r="E624" s="29"/>
      <c r="F624" s="27"/>
      <c r="G624" s="28"/>
      <c r="H624" s="19"/>
      <c r="I624" s="23"/>
      <c r="J624" s="82">
        <f t="shared" si="60"/>
        <v>0</v>
      </c>
      <c r="K624" s="30"/>
      <c r="L624" s="83" t="str">
        <f t="shared" si="61"/>
        <v/>
      </c>
      <c r="M624" s="23"/>
      <c r="Q624" s="12"/>
      <c r="S624"/>
    </row>
    <row r="625" spans="1:19" x14ac:dyDescent="0.25">
      <c r="A625" s="12" t="str">
        <f t="shared" si="59"/>
        <v/>
      </c>
      <c r="B625" s="16"/>
      <c r="C625" s="17"/>
      <c r="D625" s="18"/>
      <c r="E625" s="29"/>
      <c r="F625" s="39"/>
      <c r="G625" s="40"/>
      <c r="H625" s="41"/>
      <c r="I625" s="42"/>
      <c r="J625" s="82">
        <f t="shared" si="60"/>
        <v>0</v>
      </c>
      <c r="K625" s="43"/>
      <c r="L625" s="83" t="str">
        <f t="shared" si="61"/>
        <v/>
      </c>
      <c r="M625" s="53"/>
      <c r="Q625" s="12"/>
      <c r="S625"/>
    </row>
    <row r="626" spans="1:19" x14ac:dyDescent="0.25">
      <c r="A626" s="12" t="str">
        <f t="shared" si="59"/>
        <v/>
      </c>
      <c r="B626" s="16"/>
      <c r="C626" s="17"/>
      <c r="D626" s="18"/>
      <c r="E626" s="29"/>
      <c r="F626" s="27"/>
      <c r="G626" s="28"/>
      <c r="H626" s="19"/>
      <c r="I626" s="23"/>
      <c r="J626" s="82">
        <f t="shared" si="60"/>
        <v>0</v>
      </c>
      <c r="K626" s="30"/>
      <c r="L626" s="83" t="str">
        <f t="shared" si="61"/>
        <v/>
      </c>
      <c r="M626" s="23"/>
      <c r="Q626" s="12"/>
      <c r="S626"/>
    </row>
    <row r="627" spans="1:19" x14ac:dyDescent="0.25">
      <c r="A627" s="12" t="str">
        <f t="shared" si="59"/>
        <v/>
      </c>
      <c r="B627" s="16"/>
      <c r="C627" s="17"/>
      <c r="D627" s="18"/>
      <c r="E627" s="29"/>
      <c r="F627" s="39"/>
      <c r="G627" s="40"/>
      <c r="H627" s="41"/>
      <c r="I627" s="42"/>
      <c r="J627" s="82">
        <f t="shared" si="60"/>
        <v>0</v>
      </c>
      <c r="K627" s="43"/>
      <c r="L627" s="83" t="str">
        <f t="shared" si="61"/>
        <v/>
      </c>
      <c r="M627" s="53"/>
      <c r="Q627" s="12"/>
      <c r="S627"/>
    </row>
    <row r="628" spans="1:19" x14ac:dyDescent="0.25">
      <c r="A628" s="12" t="str">
        <f t="shared" ref="A628:A691" si="62">IFERROR(DATE(B628,C628,D628),"")</f>
        <v/>
      </c>
      <c r="B628" s="16"/>
      <c r="C628" s="17"/>
      <c r="D628" s="18"/>
      <c r="E628" s="29"/>
      <c r="F628" s="27"/>
      <c r="G628" s="28"/>
      <c r="H628" s="19"/>
      <c r="I628" s="23"/>
      <c r="J628" s="82">
        <f t="shared" ref="J628:J691" si="63">IF(E628="entrada",H628*I628,H628*I628*-1)</f>
        <v>0</v>
      </c>
      <c r="K628" s="30"/>
      <c r="L628" s="83" t="str">
        <f t="shared" ref="L628:L691" si="64">IF(J628=0,"",SUM(L627,J628))</f>
        <v/>
      </c>
      <c r="M628" s="23"/>
      <c r="Q628" s="12"/>
      <c r="S628"/>
    </row>
    <row r="629" spans="1:19" x14ac:dyDescent="0.25">
      <c r="A629" s="12" t="str">
        <f t="shared" si="62"/>
        <v/>
      </c>
      <c r="B629" s="16"/>
      <c r="C629" s="17"/>
      <c r="D629" s="18"/>
      <c r="E629" s="29"/>
      <c r="F629" s="39"/>
      <c r="G629" s="40"/>
      <c r="H629" s="41"/>
      <c r="I629" s="42"/>
      <c r="J629" s="82">
        <f t="shared" si="63"/>
        <v>0</v>
      </c>
      <c r="K629" s="43"/>
      <c r="L629" s="83" t="str">
        <f t="shared" si="64"/>
        <v/>
      </c>
      <c r="M629" s="53"/>
      <c r="Q629" s="12"/>
      <c r="S629"/>
    </row>
    <row r="630" spans="1:19" x14ac:dyDescent="0.25">
      <c r="A630" s="12" t="str">
        <f t="shared" si="62"/>
        <v/>
      </c>
      <c r="B630" s="16"/>
      <c r="C630" s="17"/>
      <c r="D630" s="18"/>
      <c r="E630" s="29"/>
      <c r="F630" s="27"/>
      <c r="G630" s="28"/>
      <c r="H630" s="19"/>
      <c r="I630" s="23"/>
      <c r="J630" s="82">
        <f t="shared" si="63"/>
        <v>0</v>
      </c>
      <c r="K630" s="30"/>
      <c r="L630" s="83" t="str">
        <f t="shared" si="64"/>
        <v/>
      </c>
      <c r="M630" s="23"/>
      <c r="Q630" s="12"/>
      <c r="S630"/>
    </row>
    <row r="631" spans="1:19" x14ac:dyDescent="0.25">
      <c r="A631" s="12" t="str">
        <f t="shared" si="62"/>
        <v/>
      </c>
      <c r="B631" s="16"/>
      <c r="C631" s="17"/>
      <c r="D631" s="18"/>
      <c r="E631" s="29"/>
      <c r="F631" s="39"/>
      <c r="G631" s="40"/>
      <c r="H631" s="41"/>
      <c r="I631" s="42"/>
      <c r="J631" s="82">
        <f t="shared" si="63"/>
        <v>0</v>
      </c>
      <c r="K631" s="43"/>
      <c r="L631" s="83" t="str">
        <f t="shared" si="64"/>
        <v/>
      </c>
      <c r="M631" s="53"/>
      <c r="Q631" s="12"/>
      <c r="S631"/>
    </row>
    <row r="632" spans="1:19" x14ac:dyDescent="0.25">
      <c r="A632" s="12" t="str">
        <f t="shared" si="62"/>
        <v/>
      </c>
      <c r="B632" s="16"/>
      <c r="C632" s="17"/>
      <c r="D632" s="18"/>
      <c r="E632" s="29"/>
      <c r="F632" s="27"/>
      <c r="G632" s="28"/>
      <c r="H632" s="19"/>
      <c r="I632" s="23"/>
      <c r="J632" s="82">
        <f t="shared" si="63"/>
        <v>0</v>
      </c>
      <c r="K632" s="30"/>
      <c r="L632" s="83" t="str">
        <f t="shared" si="64"/>
        <v/>
      </c>
      <c r="M632" s="23"/>
      <c r="Q632" s="12"/>
      <c r="S632"/>
    </row>
    <row r="633" spans="1:19" x14ac:dyDescent="0.25">
      <c r="A633" s="12" t="str">
        <f t="shared" si="62"/>
        <v/>
      </c>
      <c r="B633" s="16"/>
      <c r="C633" s="17"/>
      <c r="D633" s="18"/>
      <c r="E633" s="29"/>
      <c r="F633" s="39"/>
      <c r="G633" s="40"/>
      <c r="H633" s="41"/>
      <c r="I633" s="42"/>
      <c r="J633" s="82">
        <f t="shared" si="63"/>
        <v>0</v>
      </c>
      <c r="K633" s="43"/>
      <c r="L633" s="83" t="str">
        <f t="shared" si="64"/>
        <v/>
      </c>
      <c r="M633" s="53"/>
      <c r="Q633" s="12"/>
      <c r="S633"/>
    </row>
    <row r="634" spans="1:19" x14ac:dyDescent="0.25">
      <c r="A634" s="12" t="str">
        <f t="shared" si="62"/>
        <v/>
      </c>
      <c r="B634" s="16"/>
      <c r="C634" s="17"/>
      <c r="D634" s="18"/>
      <c r="E634" s="29"/>
      <c r="F634" s="27"/>
      <c r="G634" s="28"/>
      <c r="H634" s="19"/>
      <c r="I634" s="23"/>
      <c r="J634" s="82">
        <f t="shared" si="63"/>
        <v>0</v>
      </c>
      <c r="K634" s="30"/>
      <c r="L634" s="83" t="str">
        <f t="shared" si="64"/>
        <v/>
      </c>
      <c r="M634" s="23"/>
      <c r="Q634" s="12"/>
      <c r="S634"/>
    </row>
    <row r="635" spans="1:19" x14ac:dyDescent="0.25">
      <c r="A635" s="12" t="str">
        <f t="shared" si="62"/>
        <v/>
      </c>
      <c r="B635" s="16"/>
      <c r="C635" s="17"/>
      <c r="D635" s="18"/>
      <c r="E635" s="29"/>
      <c r="F635" s="39"/>
      <c r="G635" s="40"/>
      <c r="H635" s="41"/>
      <c r="I635" s="42"/>
      <c r="J635" s="82">
        <f t="shared" si="63"/>
        <v>0</v>
      </c>
      <c r="K635" s="43"/>
      <c r="L635" s="83" t="str">
        <f t="shared" si="64"/>
        <v/>
      </c>
      <c r="M635" s="53"/>
      <c r="Q635" s="12"/>
      <c r="S635"/>
    </row>
    <row r="636" spans="1:19" x14ac:dyDescent="0.25">
      <c r="A636" s="12" t="str">
        <f t="shared" si="62"/>
        <v/>
      </c>
      <c r="B636" s="16"/>
      <c r="C636" s="17"/>
      <c r="D636" s="18"/>
      <c r="E636" s="29"/>
      <c r="F636" s="27"/>
      <c r="G636" s="28"/>
      <c r="H636" s="19"/>
      <c r="I636" s="23"/>
      <c r="J636" s="82">
        <f t="shared" si="63"/>
        <v>0</v>
      </c>
      <c r="K636" s="30"/>
      <c r="L636" s="83" t="str">
        <f t="shared" si="64"/>
        <v/>
      </c>
      <c r="M636" s="23"/>
      <c r="Q636" s="12"/>
      <c r="S636"/>
    </row>
    <row r="637" spans="1:19" x14ac:dyDescent="0.25">
      <c r="A637" s="12" t="str">
        <f t="shared" si="62"/>
        <v/>
      </c>
      <c r="B637" s="16"/>
      <c r="C637" s="17"/>
      <c r="D637" s="18"/>
      <c r="E637" s="29"/>
      <c r="F637" s="39"/>
      <c r="G637" s="40"/>
      <c r="H637" s="41"/>
      <c r="I637" s="42"/>
      <c r="J637" s="82">
        <f t="shared" si="63"/>
        <v>0</v>
      </c>
      <c r="K637" s="43"/>
      <c r="L637" s="83" t="str">
        <f t="shared" si="64"/>
        <v/>
      </c>
      <c r="M637" s="53"/>
      <c r="Q637" s="12"/>
      <c r="S637"/>
    </row>
    <row r="638" spans="1:19" x14ac:dyDescent="0.25">
      <c r="A638" s="12" t="str">
        <f t="shared" si="62"/>
        <v/>
      </c>
      <c r="B638" s="16"/>
      <c r="C638" s="17"/>
      <c r="D638" s="18"/>
      <c r="E638" s="29"/>
      <c r="F638" s="27"/>
      <c r="G638" s="28"/>
      <c r="H638" s="19"/>
      <c r="I638" s="23"/>
      <c r="J638" s="82">
        <f t="shared" si="63"/>
        <v>0</v>
      </c>
      <c r="K638" s="30"/>
      <c r="L638" s="83" t="str">
        <f t="shared" si="64"/>
        <v/>
      </c>
      <c r="M638" s="23"/>
      <c r="Q638" s="12"/>
      <c r="S638"/>
    </row>
    <row r="639" spans="1:19" x14ac:dyDescent="0.25">
      <c r="A639" s="12" t="str">
        <f t="shared" si="62"/>
        <v/>
      </c>
      <c r="B639" s="16"/>
      <c r="C639" s="17"/>
      <c r="D639" s="18"/>
      <c r="E639" s="29"/>
      <c r="F639" s="39"/>
      <c r="G639" s="40"/>
      <c r="H639" s="41"/>
      <c r="I639" s="42"/>
      <c r="J639" s="82">
        <f t="shared" si="63"/>
        <v>0</v>
      </c>
      <c r="K639" s="43"/>
      <c r="L639" s="83" t="str">
        <f t="shared" si="64"/>
        <v/>
      </c>
      <c r="M639" s="53"/>
      <c r="Q639" s="12"/>
      <c r="S639"/>
    </row>
    <row r="640" spans="1:19" x14ac:dyDescent="0.25">
      <c r="A640" s="12" t="str">
        <f t="shared" si="62"/>
        <v/>
      </c>
      <c r="B640" s="16"/>
      <c r="C640" s="17"/>
      <c r="D640" s="18"/>
      <c r="E640" s="29"/>
      <c r="F640" s="27"/>
      <c r="G640" s="28"/>
      <c r="H640" s="19"/>
      <c r="I640" s="23"/>
      <c r="J640" s="82">
        <f t="shared" si="63"/>
        <v>0</v>
      </c>
      <c r="K640" s="30"/>
      <c r="L640" s="83" t="str">
        <f t="shared" si="64"/>
        <v/>
      </c>
      <c r="M640" s="23"/>
      <c r="Q640" s="12"/>
      <c r="S640"/>
    </row>
    <row r="641" spans="1:19" x14ac:dyDescent="0.25">
      <c r="A641" s="12" t="str">
        <f t="shared" si="62"/>
        <v/>
      </c>
      <c r="B641" s="16"/>
      <c r="C641" s="17"/>
      <c r="D641" s="18"/>
      <c r="E641" s="29"/>
      <c r="F641" s="39"/>
      <c r="G641" s="40"/>
      <c r="H641" s="41"/>
      <c r="I641" s="42"/>
      <c r="J641" s="82">
        <f t="shared" si="63"/>
        <v>0</v>
      </c>
      <c r="K641" s="43"/>
      <c r="L641" s="83" t="str">
        <f t="shared" si="64"/>
        <v/>
      </c>
      <c r="M641" s="53"/>
      <c r="Q641" s="12"/>
      <c r="S641"/>
    </row>
    <row r="642" spans="1:19" x14ac:dyDescent="0.25">
      <c r="A642" s="12" t="str">
        <f t="shared" si="62"/>
        <v/>
      </c>
      <c r="B642" s="16"/>
      <c r="C642" s="17"/>
      <c r="D642" s="18"/>
      <c r="E642" s="29"/>
      <c r="F642" s="27"/>
      <c r="G642" s="28"/>
      <c r="H642" s="19"/>
      <c r="I642" s="23"/>
      <c r="J642" s="82">
        <f t="shared" si="63"/>
        <v>0</v>
      </c>
      <c r="K642" s="30"/>
      <c r="L642" s="83" t="str">
        <f t="shared" si="64"/>
        <v/>
      </c>
      <c r="M642" s="23"/>
      <c r="Q642" s="12"/>
      <c r="S642"/>
    </row>
    <row r="643" spans="1:19" x14ac:dyDescent="0.25">
      <c r="A643" s="12" t="str">
        <f t="shared" si="62"/>
        <v/>
      </c>
      <c r="B643" s="16"/>
      <c r="C643" s="17"/>
      <c r="D643" s="18"/>
      <c r="E643" s="29"/>
      <c r="F643" s="39"/>
      <c r="G643" s="40"/>
      <c r="H643" s="41"/>
      <c r="I643" s="42"/>
      <c r="J643" s="82">
        <f t="shared" si="63"/>
        <v>0</v>
      </c>
      <c r="K643" s="43"/>
      <c r="L643" s="83" t="str">
        <f t="shared" si="64"/>
        <v/>
      </c>
      <c r="M643" s="53"/>
      <c r="Q643" s="12"/>
      <c r="S643"/>
    </row>
    <row r="644" spans="1:19" x14ac:dyDescent="0.25">
      <c r="A644" s="12" t="str">
        <f t="shared" si="62"/>
        <v/>
      </c>
      <c r="B644" s="16"/>
      <c r="C644" s="17"/>
      <c r="D644" s="18"/>
      <c r="E644" s="29"/>
      <c r="F644" s="27"/>
      <c r="G644" s="28"/>
      <c r="H644" s="19"/>
      <c r="I644" s="23"/>
      <c r="J644" s="82">
        <f t="shared" si="63"/>
        <v>0</v>
      </c>
      <c r="K644" s="30"/>
      <c r="L644" s="83" t="str">
        <f t="shared" si="64"/>
        <v/>
      </c>
      <c r="M644" s="23"/>
      <c r="Q644" s="12"/>
      <c r="S644"/>
    </row>
    <row r="645" spans="1:19" x14ac:dyDescent="0.25">
      <c r="A645" s="12" t="str">
        <f t="shared" si="62"/>
        <v/>
      </c>
      <c r="B645" s="16"/>
      <c r="C645" s="17"/>
      <c r="D645" s="18"/>
      <c r="E645" s="29"/>
      <c r="F645" s="39"/>
      <c r="G645" s="40"/>
      <c r="H645" s="41"/>
      <c r="I645" s="42"/>
      <c r="J645" s="82">
        <f t="shared" si="63"/>
        <v>0</v>
      </c>
      <c r="K645" s="43"/>
      <c r="L645" s="83" t="str">
        <f t="shared" si="64"/>
        <v/>
      </c>
      <c r="M645" s="53"/>
      <c r="Q645" s="12"/>
      <c r="S645"/>
    </row>
    <row r="646" spans="1:19" x14ac:dyDescent="0.25">
      <c r="A646" s="12" t="str">
        <f t="shared" si="62"/>
        <v/>
      </c>
      <c r="B646" s="16"/>
      <c r="C646" s="17"/>
      <c r="D646" s="18"/>
      <c r="E646" s="29"/>
      <c r="F646" s="27"/>
      <c r="G646" s="28"/>
      <c r="H646" s="19"/>
      <c r="I646" s="23"/>
      <c r="J646" s="82">
        <f t="shared" si="63"/>
        <v>0</v>
      </c>
      <c r="K646" s="30"/>
      <c r="L646" s="83" t="str">
        <f t="shared" si="64"/>
        <v/>
      </c>
      <c r="M646" s="23"/>
      <c r="Q646" s="12"/>
      <c r="S646"/>
    </row>
    <row r="647" spans="1:19" x14ac:dyDescent="0.25">
      <c r="A647" s="12" t="str">
        <f t="shared" si="62"/>
        <v/>
      </c>
      <c r="B647" s="16"/>
      <c r="C647" s="17"/>
      <c r="D647" s="18"/>
      <c r="E647" s="29"/>
      <c r="F647" s="39"/>
      <c r="G647" s="40"/>
      <c r="H647" s="41"/>
      <c r="I647" s="42"/>
      <c r="J647" s="82">
        <f t="shared" si="63"/>
        <v>0</v>
      </c>
      <c r="K647" s="43"/>
      <c r="L647" s="83" t="str">
        <f t="shared" si="64"/>
        <v/>
      </c>
      <c r="M647" s="53"/>
      <c r="Q647" s="12"/>
      <c r="S647"/>
    </row>
    <row r="648" spans="1:19" x14ac:dyDescent="0.25">
      <c r="A648" s="12" t="str">
        <f t="shared" si="62"/>
        <v/>
      </c>
      <c r="B648" s="16"/>
      <c r="C648" s="17"/>
      <c r="D648" s="18"/>
      <c r="E648" s="29"/>
      <c r="F648" s="27"/>
      <c r="G648" s="28"/>
      <c r="H648" s="19"/>
      <c r="I648" s="23"/>
      <c r="J648" s="82">
        <f t="shared" si="63"/>
        <v>0</v>
      </c>
      <c r="K648" s="30"/>
      <c r="L648" s="83" t="str">
        <f t="shared" si="64"/>
        <v/>
      </c>
      <c r="M648" s="23"/>
      <c r="Q648" s="12"/>
      <c r="S648"/>
    </row>
    <row r="649" spans="1:19" x14ac:dyDescent="0.25">
      <c r="A649" s="12" t="str">
        <f t="shared" si="62"/>
        <v/>
      </c>
      <c r="B649" s="16"/>
      <c r="C649" s="17"/>
      <c r="D649" s="18"/>
      <c r="E649" s="29"/>
      <c r="F649" s="39"/>
      <c r="G649" s="40"/>
      <c r="H649" s="41"/>
      <c r="I649" s="42"/>
      <c r="J649" s="82">
        <f t="shared" si="63"/>
        <v>0</v>
      </c>
      <c r="K649" s="43"/>
      <c r="L649" s="83" t="str">
        <f t="shared" si="64"/>
        <v/>
      </c>
      <c r="M649" s="53"/>
      <c r="Q649" s="12"/>
      <c r="S649"/>
    </row>
    <row r="650" spans="1:19" x14ac:dyDescent="0.25">
      <c r="A650" s="12" t="str">
        <f t="shared" si="62"/>
        <v/>
      </c>
      <c r="B650" s="16"/>
      <c r="C650" s="17"/>
      <c r="D650" s="18"/>
      <c r="E650" s="29"/>
      <c r="F650" s="27"/>
      <c r="G650" s="28"/>
      <c r="H650" s="19"/>
      <c r="I650" s="23"/>
      <c r="J650" s="82">
        <f t="shared" si="63"/>
        <v>0</v>
      </c>
      <c r="K650" s="30"/>
      <c r="L650" s="83" t="str">
        <f t="shared" si="64"/>
        <v/>
      </c>
      <c r="M650" s="23"/>
      <c r="Q650" s="12"/>
      <c r="S650"/>
    </row>
    <row r="651" spans="1:19" x14ac:dyDescent="0.25">
      <c r="A651" s="12" t="str">
        <f t="shared" si="62"/>
        <v/>
      </c>
      <c r="B651" s="16"/>
      <c r="C651" s="17"/>
      <c r="D651" s="18"/>
      <c r="E651" s="29"/>
      <c r="F651" s="39"/>
      <c r="G651" s="40"/>
      <c r="H651" s="41"/>
      <c r="I651" s="42"/>
      <c r="J651" s="82">
        <f t="shared" si="63"/>
        <v>0</v>
      </c>
      <c r="K651" s="43"/>
      <c r="L651" s="83" t="str">
        <f t="shared" si="64"/>
        <v/>
      </c>
      <c r="M651" s="53"/>
      <c r="Q651" s="12"/>
      <c r="S651"/>
    </row>
    <row r="652" spans="1:19" x14ac:dyDescent="0.25">
      <c r="A652" s="12" t="str">
        <f t="shared" si="62"/>
        <v/>
      </c>
      <c r="B652" s="16"/>
      <c r="C652" s="17"/>
      <c r="D652" s="18"/>
      <c r="E652" s="29"/>
      <c r="F652" s="27"/>
      <c r="G652" s="28"/>
      <c r="H652" s="19"/>
      <c r="I652" s="23"/>
      <c r="J652" s="82">
        <f t="shared" si="63"/>
        <v>0</v>
      </c>
      <c r="K652" s="30"/>
      <c r="L652" s="83" t="str">
        <f t="shared" si="64"/>
        <v/>
      </c>
      <c r="M652" s="23"/>
      <c r="Q652" s="12"/>
      <c r="S652"/>
    </row>
    <row r="653" spans="1:19" x14ac:dyDescent="0.25">
      <c r="A653" s="12" t="str">
        <f t="shared" si="62"/>
        <v/>
      </c>
      <c r="B653" s="16"/>
      <c r="C653" s="17"/>
      <c r="D653" s="18"/>
      <c r="E653" s="29"/>
      <c r="F653" s="39"/>
      <c r="G653" s="40"/>
      <c r="H653" s="41"/>
      <c r="I653" s="42"/>
      <c r="J653" s="82">
        <f t="shared" si="63"/>
        <v>0</v>
      </c>
      <c r="K653" s="43"/>
      <c r="L653" s="83" t="str">
        <f t="shared" si="64"/>
        <v/>
      </c>
      <c r="M653" s="53"/>
      <c r="Q653" s="12"/>
      <c r="S653"/>
    </row>
    <row r="654" spans="1:19" x14ac:dyDescent="0.25">
      <c r="A654" s="12" t="str">
        <f t="shared" si="62"/>
        <v/>
      </c>
      <c r="B654" s="16"/>
      <c r="C654" s="17"/>
      <c r="D654" s="18"/>
      <c r="E654" s="29"/>
      <c r="F654" s="27"/>
      <c r="G654" s="28"/>
      <c r="H654" s="19"/>
      <c r="I654" s="23"/>
      <c r="J654" s="82">
        <f t="shared" si="63"/>
        <v>0</v>
      </c>
      <c r="K654" s="30"/>
      <c r="L654" s="83" t="str">
        <f t="shared" si="64"/>
        <v/>
      </c>
      <c r="M654" s="23"/>
      <c r="Q654" s="12"/>
      <c r="S654"/>
    </row>
    <row r="655" spans="1:19" x14ac:dyDescent="0.25">
      <c r="A655" s="12" t="str">
        <f t="shared" si="62"/>
        <v/>
      </c>
      <c r="B655" s="16"/>
      <c r="C655" s="17"/>
      <c r="D655" s="18"/>
      <c r="E655" s="29"/>
      <c r="F655" s="39"/>
      <c r="G655" s="40"/>
      <c r="H655" s="41"/>
      <c r="I655" s="42"/>
      <c r="J655" s="82">
        <f t="shared" si="63"/>
        <v>0</v>
      </c>
      <c r="K655" s="43"/>
      <c r="L655" s="83" t="str">
        <f t="shared" si="64"/>
        <v/>
      </c>
      <c r="M655" s="53"/>
      <c r="Q655" s="12"/>
      <c r="S655"/>
    </row>
    <row r="656" spans="1:19" x14ac:dyDescent="0.25">
      <c r="A656" s="12" t="str">
        <f t="shared" si="62"/>
        <v/>
      </c>
      <c r="B656" s="16"/>
      <c r="C656" s="17"/>
      <c r="D656" s="18"/>
      <c r="E656" s="29"/>
      <c r="F656" s="27"/>
      <c r="G656" s="28"/>
      <c r="H656" s="19"/>
      <c r="I656" s="23"/>
      <c r="J656" s="82">
        <f t="shared" si="63"/>
        <v>0</v>
      </c>
      <c r="K656" s="30"/>
      <c r="L656" s="83" t="str">
        <f t="shared" si="64"/>
        <v/>
      </c>
      <c r="M656" s="23"/>
      <c r="Q656" s="12"/>
      <c r="S656"/>
    </row>
    <row r="657" spans="1:19" x14ac:dyDescent="0.25">
      <c r="A657" s="12" t="str">
        <f t="shared" si="62"/>
        <v/>
      </c>
      <c r="B657" s="16"/>
      <c r="C657" s="17"/>
      <c r="D657" s="18"/>
      <c r="E657" s="29"/>
      <c r="F657" s="39"/>
      <c r="G657" s="40"/>
      <c r="H657" s="41"/>
      <c r="I657" s="42"/>
      <c r="J657" s="82">
        <f t="shared" si="63"/>
        <v>0</v>
      </c>
      <c r="K657" s="43"/>
      <c r="L657" s="83" t="str">
        <f t="shared" si="64"/>
        <v/>
      </c>
      <c r="M657" s="53"/>
      <c r="Q657" s="12"/>
      <c r="S657"/>
    </row>
    <row r="658" spans="1:19" x14ac:dyDescent="0.25">
      <c r="A658" s="12" t="str">
        <f t="shared" si="62"/>
        <v/>
      </c>
      <c r="B658" s="16"/>
      <c r="C658" s="17"/>
      <c r="D658" s="18"/>
      <c r="E658" s="29"/>
      <c r="F658" s="27"/>
      <c r="G658" s="28"/>
      <c r="H658" s="19"/>
      <c r="I658" s="23"/>
      <c r="J658" s="82">
        <f t="shared" si="63"/>
        <v>0</v>
      </c>
      <c r="K658" s="30"/>
      <c r="L658" s="83" t="str">
        <f t="shared" si="64"/>
        <v/>
      </c>
      <c r="M658" s="23"/>
      <c r="Q658" s="12"/>
      <c r="S658"/>
    </row>
    <row r="659" spans="1:19" x14ac:dyDescent="0.25">
      <c r="A659" s="12" t="str">
        <f t="shared" si="62"/>
        <v/>
      </c>
      <c r="B659" s="16"/>
      <c r="C659" s="17"/>
      <c r="D659" s="18"/>
      <c r="E659" s="29"/>
      <c r="F659" s="39"/>
      <c r="G659" s="40"/>
      <c r="H659" s="41"/>
      <c r="I659" s="42"/>
      <c r="J659" s="82">
        <f t="shared" si="63"/>
        <v>0</v>
      </c>
      <c r="K659" s="43"/>
      <c r="L659" s="83" t="str">
        <f t="shared" si="64"/>
        <v/>
      </c>
      <c r="M659" s="53"/>
      <c r="Q659" s="12"/>
      <c r="S659"/>
    </row>
    <row r="660" spans="1:19" x14ac:dyDescent="0.25">
      <c r="A660" s="12" t="str">
        <f t="shared" si="62"/>
        <v/>
      </c>
      <c r="B660" s="16"/>
      <c r="C660" s="17"/>
      <c r="D660" s="18"/>
      <c r="E660" s="29"/>
      <c r="F660" s="27"/>
      <c r="G660" s="28"/>
      <c r="H660" s="19"/>
      <c r="I660" s="23"/>
      <c r="J660" s="82">
        <f t="shared" si="63"/>
        <v>0</v>
      </c>
      <c r="K660" s="30"/>
      <c r="L660" s="83" t="str">
        <f t="shared" si="64"/>
        <v/>
      </c>
      <c r="M660" s="23"/>
      <c r="Q660" s="12"/>
      <c r="S660"/>
    </row>
    <row r="661" spans="1:19" x14ac:dyDescent="0.25">
      <c r="A661" s="12" t="str">
        <f t="shared" si="62"/>
        <v/>
      </c>
      <c r="B661" s="16"/>
      <c r="C661" s="17"/>
      <c r="D661" s="18"/>
      <c r="E661" s="29"/>
      <c r="F661" s="39"/>
      <c r="G661" s="40"/>
      <c r="H661" s="41"/>
      <c r="I661" s="42"/>
      <c r="J661" s="82">
        <f t="shared" si="63"/>
        <v>0</v>
      </c>
      <c r="K661" s="43"/>
      <c r="L661" s="83" t="str">
        <f t="shared" si="64"/>
        <v/>
      </c>
      <c r="M661" s="53"/>
      <c r="Q661" s="12"/>
      <c r="S661"/>
    </row>
    <row r="662" spans="1:19" x14ac:dyDescent="0.25">
      <c r="A662" s="12" t="str">
        <f t="shared" si="62"/>
        <v/>
      </c>
      <c r="B662" s="16"/>
      <c r="C662" s="17"/>
      <c r="D662" s="18"/>
      <c r="E662" s="29"/>
      <c r="F662" s="27"/>
      <c r="G662" s="28"/>
      <c r="H662" s="19"/>
      <c r="I662" s="23"/>
      <c r="J662" s="82">
        <f t="shared" si="63"/>
        <v>0</v>
      </c>
      <c r="K662" s="30"/>
      <c r="L662" s="83" t="str">
        <f t="shared" si="64"/>
        <v/>
      </c>
      <c r="M662" s="23"/>
      <c r="Q662" s="12"/>
      <c r="S662"/>
    </row>
    <row r="663" spans="1:19" x14ac:dyDescent="0.25">
      <c r="A663" s="12" t="str">
        <f t="shared" si="62"/>
        <v/>
      </c>
      <c r="B663" s="16"/>
      <c r="C663" s="17"/>
      <c r="D663" s="18"/>
      <c r="E663" s="29"/>
      <c r="F663" s="39"/>
      <c r="G663" s="40"/>
      <c r="H663" s="41"/>
      <c r="I663" s="42"/>
      <c r="J663" s="82">
        <f t="shared" si="63"/>
        <v>0</v>
      </c>
      <c r="K663" s="43"/>
      <c r="L663" s="83" t="str">
        <f t="shared" si="64"/>
        <v/>
      </c>
      <c r="M663" s="53"/>
      <c r="Q663" s="12"/>
      <c r="S663"/>
    </row>
    <row r="664" spans="1:19" x14ac:dyDescent="0.25">
      <c r="A664" s="12" t="str">
        <f t="shared" si="62"/>
        <v/>
      </c>
      <c r="B664" s="16"/>
      <c r="C664" s="17"/>
      <c r="D664" s="18"/>
      <c r="E664" s="29"/>
      <c r="F664" s="27"/>
      <c r="G664" s="28"/>
      <c r="H664" s="19"/>
      <c r="I664" s="23"/>
      <c r="J664" s="82">
        <f t="shared" si="63"/>
        <v>0</v>
      </c>
      <c r="K664" s="30"/>
      <c r="L664" s="83" t="str">
        <f t="shared" si="64"/>
        <v/>
      </c>
      <c r="M664" s="23"/>
      <c r="Q664" s="12"/>
      <c r="S664"/>
    </row>
    <row r="665" spans="1:19" x14ac:dyDescent="0.25">
      <c r="A665" s="12" t="str">
        <f t="shared" si="62"/>
        <v/>
      </c>
      <c r="B665" s="16"/>
      <c r="C665" s="17"/>
      <c r="D665" s="18"/>
      <c r="E665" s="29"/>
      <c r="F665" s="39"/>
      <c r="G665" s="40"/>
      <c r="H665" s="41"/>
      <c r="I665" s="42"/>
      <c r="J665" s="82">
        <f t="shared" si="63"/>
        <v>0</v>
      </c>
      <c r="K665" s="43"/>
      <c r="L665" s="83" t="str">
        <f t="shared" si="64"/>
        <v/>
      </c>
      <c r="M665" s="53"/>
      <c r="Q665" s="12"/>
      <c r="S665"/>
    </row>
    <row r="666" spans="1:19" x14ac:dyDescent="0.25">
      <c r="A666" s="12" t="str">
        <f t="shared" si="62"/>
        <v/>
      </c>
      <c r="B666" s="16"/>
      <c r="C666" s="17"/>
      <c r="D666" s="18"/>
      <c r="E666" s="29"/>
      <c r="F666" s="27"/>
      <c r="G666" s="28"/>
      <c r="H666" s="19"/>
      <c r="I666" s="23"/>
      <c r="J666" s="82">
        <f t="shared" si="63"/>
        <v>0</v>
      </c>
      <c r="K666" s="30"/>
      <c r="L666" s="83" t="str">
        <f t="shared" si="64"/>
        <v/>
      </c>
      <c r="M666" s="23"/>
      <c r="Q666" s="12"/>
      <c r="S666"/>
    </row>
    <row r="667" spans="1:19" x14ac:dyDescent="0.25">
      <c r="A667" s="12" t="str">
        <f t="shared" si="62"/>
        <v/>
      </c>
      <c r="B667" s="16"/>
      <c r="C667" s="17"/>
      <c r="D667" s="18"/>
      <c r="E667" s="29"/>
      <c r="F667" s="39"/>
      <c r="G667" s="40"/>
      <c r="H667" s="41"/>
      <c r="I667" s="42"/>
      <c r="J667" s="82">
        <f t="shared" si="63"/>
        <v>0</v>
      </c>
      <c r="K667" s="43"/>
      <c r="L667" s="83" t="str">
        <f t="shared" si="64"/>
        <v/>
      </c>
      <c r="M667" s="53"/>
      <c r="Q667" s="12"/>
      <c r="S667"/>
    </row>
    <row r="668" spans="1:19" x14ac:dyDescent="0.25">
      <c r="A668" s="12" t="str">
        <f t="shared" si="62"/>
        <v/>
      </c>
      <c r="B668" s="16"/>
      <c r="C668" s="17"/>
      <c r="D668" s="18"/>
      <c r="E668" s="29"/>
      <c r="F668" s="27"/>
      <c r="G668" s="28"/>
      <c r="H668" s="19"/>
      <c r="I668" s="23"/>
      <c r="J668" s="82">
        <f t="shared" si="63"/>
        <v>0</v>
      </c>
      <c r="K668" s="30"/>
      <c r="L668" s="83" t="str">
        <f t="shared" si="64"/>
        <v/>
      </c>
      <c r="M668" s="23"/>
      <c r="Q668" s="12"/>
      <c r="S668"/>
    </row>
    <row r="669" spans="1:19" x14ac:dyDescent="0.25">
      <c r="A669" s="12" t="str">
        <f t="shared" si="62"/>
        <v/>
      </c>
      <c r="B669" s="16"/>
      <c r="C669" s="17"/>
      <c r="D669" s="18"/>
      <c r="E669" s="29"/>
      <c r="F669" s="39"/>
      <c r="G669" s="40"/>
      <c r="H669" s="41"/>
      <c r="I669" s="42"/>
      <c r="J669" s="82">
        <f t="shared" si="63"/>
        <v>0</v>
      </c>
      <c r="K669" s="43"/>
      <c r="L669" s="83" t="str">
        <f t="shared" si="64"/>
        <v/>
      </c>
      <c r="M669" s="53"/>
      <c r="Q669" s="12"/>
      <c r="S669"/>
    </row>
    <row r="670" spans="1:19" x14ac:dyDescent="0.25">
      <c r="A670" s="12" t="str">
        <f t="shared" si="62"/>
        <v/>
      </c>
      <c r="B670" s="16"/>
      <c r="C670" s="17"/>
      <c r="D670" s="18"/>
      <c r="E670" s="29"/>
      <c r="F670" s="27"/>
      <c r="G670" s="28"/>
      <c r="H670" s="19"/>
      <c r="I670" s="23"/>
      <c r="J670" s="82">
        <f t="shared" si="63"/>
        <v>0</v>
      </c>
      <c r="K670" s="30"/>
      <c r="L670" s="83" t="str">
        <f t="shared" si="64"/>
        <v/>
      </c>
      <c r="M670" s="23"/>
      <c r="Q670" s="12"/>
      <c r="S670"/>
    </row>
    <row r="671" spans="1:19" x14ac:dyDescent="0.25">
      <c r="A671" s="12" t="str">
        <f t="shared" si="62"/>
        <v/>
      </c>
      <c r="B671" s="16"/>
      <c r="C671" s="17"/>
      <c r="D671" s="18"/>
      <c r="E671" s="29"/>
      <c r="F671" s="39"/>
      <c r="G671" s="40"/>
      <c r="H671" s="41"/>
      <c r="I671" s="42"/>
      <c r="J671" s="82">
        <f t="shared" si="63"/>
        <v>0</v>
      </c>
      <c r="K671" s="43"/>
      <c r="L671" s="83" t="str">
        <f t="shared" si="64"/>
        <v/>
      </c>
      <c r="M671" s="53"/>
      <c r="Q671" s="12"/>
      <c r="S671"/>
    </row>
    <row r="672" spans="1:19" x14ac:dyDescent="0.25">
      <c r="A672" s="12" t="str">
        <f t="shared" si="62"/>
        <v/>
      </c>
      <c r="B672" s="16"/>
      <c r="C672" s="17"/>
      <c r="D672" s="18"/>
      <c r="E672" s="29"/>
      <c r="F672" s="27"/>
      <c r="G672" s="28"/>
      <c r="H672" s="19"/>
      <c r="I672" s="23"/>
      <c r="J672" s="82">
        <f t="shared" si="63"/>
        <v>0</v>
      </c>
      <c r="K672" s="30"/>
      <c r="L672" s="83" t="str">
        <f t="shared" si="64"/>
        <v/>
      </c>
      <c r="M672" s="23"/>
      <c r="Q672" s="12"/>
      <c r="S672"/>
    </row>
    <row r="673" spans="1:19" x14ac:dyDescent="0.25">
      <c r="A673" s="12" t="str">
        <f t="shared" si="62"/>
        <v/>
      </c>
      <c r="B673" s="16"/>
      <c r="C673" s="17"/>
      <c r="D673" s="18"/>
      <c r="E673" s="29"/>
      <c r="F673" s="39"/>
      <c r="G673" s="40"/>
      <c r="H673" s="41"/>
      <c r="I673" s="42"/>
      <c r="J673" s="82">
        <f t="shared" si="63"/>
        <v>0</v>
      </c>
      <c r="K673" s="43"/>
      <c r="L673" s="83" t="str">
        <f t="shared" si="64"/>
        <v/>
      </c>
      <c r="M673" s="53"/>
      <c r="Q673" s="12"/>
      <c r="S673"/>
    </row>
    <row r="674" spans="1:19" x14ac:dyDescent="0.25">
      <c r="A674" s="12" t="str">
        <f t="shared" si="62"/>
        <v/>
      </c>
      <c r="B674" s="16"/>
      <c r="C674" s="17"/>
      <c r="D674" s="18"/>
      <c r="E674" s="29"/>
      <c r="F674" s="27"/>
      <c r="G674" s="28"/>
      <c r="H674" s="19"/>
      <c r="I674" s="23"/>
      <c r="J674" s="82">
        <f t="shared" si="63"/>
        <v>0</v>
      </c>
      <c r="K674" s="30"/>
      <c r="L674" s="83" t="str">
        <f t="shared" si="64"/>
        <v/>
      </c>
      <c r="M674" s="23"/>
      <c r="Q674" s="12"/>
      <c r="S674"/>
    </row>
    <row r="675" spans="1:19" x14ac:dyDescent="0.25">
      <c r="A675" s="12" t="str">
        <f t="shared" si="62"/>
        <v/>
      </c>
      <c r="B675" s="16"/>
      <c r="C675" s="17"/>
      <c r="D675" s="18"/>
      <c r="E675" s="29"/>
      <c r="F675" s="39"/>
      <c r="G675" s="40"/>
      <c r="H675" s="41"/>
      <c r="I675" s="42"/>
      <c r="J675" s="82">
        <f t="shared" si="63"/>
        <v>0</v>
      </c>
      <c r="K675" s="43"/>
      <c r="L675" s="83" t="str">
        <f t="shared" si="64"/>
        <v/>
      </c>
      <c r="M675" s="53"/>
      <c r="Q675" s="12"/>
      <c r="S675"/>
    </row>
    <row r="676" spans="1:19" x14ac:dyDescent="0.25">
      <c r="A676" s="12" t="str">
        <f t="shared" si="62"/>
        <v/>
      </c>
      <c r="B676" s="16"/>
      <c r="C676" s="17"/>
      <c r="D676" s="18"/>
      <c r="E676" s="29"/>
      <c r="F676" s="27"/>
      <c r="G676" s="28"/>
      <c r="H676" s="19"/>
      <c r="I676" s="23"/>
      <c r="J676" s="82">
        <f t="shared" si="63"/>
        <v>0</v>
      </c>
      <c r="K676" s="30"/>
      <c r="L676" s="83" t="str">
        <f t="shared" si="64"/>
        <v/>
      </c>
      <c r="M676" s="23"/>
      <c r="Q676" s="12"/>
      <c r="S676"/>
    </row>
    <row r="677" spans="1:19" x14ac:dyDescent="0.25">
      <c r="A677" s="12" t="str">
        <f t="shared" si="62"/>
        <v/>
      </c>
      <c r="B677" s="16"/>
      <c r="C677" s="17"/>
      <c r="D677" s="18"/>
      <c r="E677" s="29"/>
      <c r="F677" s="39"/>
      <c r="G677" s="40"/>
      <c r="H677" s="41"/>
      <c r="I677" s="42"/>
      <c r="J677" s="82">
        <f t="shared" si="63"/>
        <v>0</v>
      </c>
      <c r="K677" s="43"/>
      <c r="L677" s="83" t="str">
        <f t="shared" si="64"/>
        <v/>
      </c>
      <c r="M677" s="53"/>
      <c r="Q677" s="12"/>
      <c r="S677"/>
    </row>
    <row r="678" spans="1:19" x14ac:dyDescent="0.25">
      <c r="A678" s="12" t="str">
        <f t="shared" si="62"/>
        <v/>
      </c>
      <c r="B678" s="16"/>
      <c r="C678" s="17"/>
      <c r="D678" s="18"/>
      <c r="E678" s="29"/>
      <c r="F678" s="27"/>
      <c r="G678" s="28"/>
      <c r="H678" s="19"/>
      <c r="I678" s="23"/>
      <c r="J678" s="82">
        <f t="shared" si="63"/>
        <v>0</v>
      </c>
      <c r="K678" s="30"/>
      <c r="L678" s="83" t="str">
        <f t="shared" si="64"/>
        <v/>
      </c>
      <c r="M678" s="23"/>
      <c r="Q678" s="12"/>
      <c r="S678"/>
    </row>
    <row r="679" spans="1:19" x14ac:dyDescent="0.25">
      <c r="A679" s="12" t="str">
        <f t="shared" si="62"/>
        <v/>
      </c>
      <c r="B679" s="16"/>
      <c r="C679" s="17"/>
      <c r="D679" s="18"/>
      <c r="E679" s="29"/>
      <c r="F679" s="39"/>
      <c r="G679" s="40"/>
      <c r="H679" s="41"/>
      <c r="I679" s="42"/>
      <c r="J679" s="82">
        <f t="shared" si="63"/>
        <v>0</v>
      </c>
      <c r="K679" s="43"/>
      <c r="L679" s="83" t="str">
        <f t="shared" si="64"/>
        <v/>
      </c>
      <c r="M679" s="53"/>
      <c r="Q679" s="12"/>
      <c r="S679"/>
    </row>
    <row r="680" spans="1:19" x14ac:dyDescent="0.25">
      <c r="A680" s="12" t="str">
        <f t="shared" si="62"/>
        <v/>
      </c>
      <c r="B680" s="16"/>
      <c r="C680" s="17"/>
      <c r="D680" s="18"/>
      <c r="E680" s="29"/>
      <c r="F680" s="27"/>
      <c r="G680" s="28"/>
      <c r="H680" s="19"/>
      <c r="I680" s="23"/>
      <c r="J680" s="82">
        <f t="shared" si="63"/>
        <v>0</v>
      </c>
      <c r="K680" s="30"/>
      <c r="L680" s="83" t="str">
        <f t="shared" si="64"/>
        <v/>
      </c>
      <c r="M680" s="23"/>
      <c r="Q680" s="12"/>
      <c r="S680"/>
    </row>
    <row r="681" spans="1:19" x14ac:dyDescent="0.25">
      <c r="A681" s="12" t="str">
        <f t="shared" si="62"/>
        <v/>
      </c>
      <c r="B681" s="16"/>
      <c r="C681" s="17"/>
      <c r="D681" s="18"/>
      <c r="E681" s="29"/>
      <c r="F681" s="39"/>
      <c r="G681" s="40"/>
      <c r="H681" s="41"/>
      <c r="I681" s="42"/>
      <c r="J681" s="82">
        <f t="shared" si="63"/>
        <v>0</v>
      </c>
      <c r="K681" s="43"/>
      <c r="L681" s="83" t="str">
        <f t="shared" si="64"/>
        <v/>
      </c>
      <c r="M681" s="53"/>
      <c r="Q681" s="12"/>
      <c r="S681"/>
    </row>
    <row r="682" spans="1:19" x14ac:dyDescent="0.25">
      <c r="A682" s="12" t="str">
        <f t="shared" si="62"/>
        <v/>
      </c>
      <c r="B682" s="16"/>
      <c r="C682" s="17"/>
      <c r="D682" s="18"/>
      <c r="E682" s="29"/>
      <c r="F682" s="27"/>
      <c r="G682" s="28"/>
      <c r="H682" s="19"/>
      <c r="I682" s="23"/>
      <c r="J682" s="82">
        <f t="shared" si="63"/>
        <v>0</v>
      </c>
      <c r="K682" s="30"/>
      <c r="L682" s="83" t="str">
        <f t="shared" si="64"/>
        <v/>
      </c>
      <c r="M682" s="23"/>
      <c r="Q682" s="12"/>
      <c r="S682"/>
    </row>
    <row r="683" spans="1:19" x14ac:dyDescent="0.25">
      <c r="A683" s="12" t="str">
        <f t="shared" si="62"/>
        <v/>
      </c>
      <c r="B683" s="16"/>
      <c r="C683" s="17"/>
      <c r="D683" s="18"/>
      <c r="E683" s="29"/>
      <c r="F683" s="39"/>
      <c r="G683" s="40"/>
      <c r="H683" s="41"/>
      <c r="I683" s="42"/>
      <c r="J683" s="82">
        <f t="shared" si="63"/>
        <v>0</v>
      </c>
      <c r="K683" s="43"/>
      <c r="L683" s="83" t="str">
        <f t="shared" si="64"/>
        <v/>
      </c>
      <c r="M683" s="53"/>
      <c r="Q683" s="12"/>
      <c r="S683"/>
    </row>
    <row r="684" spans="1:19" x14ac:dyDescent="0.25">
      <c r="A684" s="12" t="str">
        <f t="shared" si="62"/>
        <v/>
      </c>
      <c r="B684" s="16"/>
      <c r="C684" s="17"/>
      <c r="D684" s="18"/>
      <c r="E684" s="29"/>
      <c r="F684" s="27"/>
      <c r="G684" s="28"/>
      <c r="H684" s="19"/>
      <c r="I684" s="23"/>
      <c r="J684" s="82">
        <f t="shared" si="63"/>
        <v>0</v>
      </c>
      <c r="K684" s="30"/>
      <c r="L684" s="83" t="str">
        <f t="shared" si="64"/>
        <v/>
      </c>
      <c r="M684" s="23"/>
      <c r="Q684" s="12"/>
      <c r="S684"/>
    </row>
    <row r="685" spans="1:19" x14ac:dyDescent="0.25">
      <c r="A685" s="12" t="str">
        <f t="shared" si="62"/>
        <v/>
      </c>
      <c r="B685" s="16"/>
      <c r="C685" s="17"/>
      <c r="D685" s="18"/>
      <c r="E685" s="29"/>
      <c r="F685" s="39"/>
      <c r="G685" s="40"/>
      <c r="H685" s="41"/>
      <c r="I685" s="42"/>
      <c r="J685" s="82">
        <f t="shared" si="63"/>
        <v>0</v>
      </c>
      <c r="K685" s="43"/>
      <c r="L685" s="83" t="str">
        <f t="shared" si="64"/>
        <v/>
      </c>
      <c r="M685" s="53"/>
      <c r="Q685" s="12"/>
      <c r="S685"/>
    </row>
    <row r="686" spans="1:19" x14ac:dyDescent="0.25">
      <c r="A686" s="12" t="str">
        <f t="shared" si="62"/>
        <v/>
      </c>
      <c r="B686" s="16"/>
      <c r="C686" s="17"/>
      <c r="D686" s="18"/>
      <c r="E686" s="29"/>
      <c r="F686" s="27"/>
      <c r="G686" s="28"/>
      <c r="H686" s="19"/>
      <c r="I686" s="23"/>
      <c r="J686" s="82">
        <f t="shared" si="63"/>
        <v>0</v>
      </c>
      <c r="K686" s="30"/>
      <c r="L686" s="83" t="str">
        <f t="shared" si="64"/>
        <v/>
      </c>
      <c r="M686" s="23"/>
      <c r="Q686" s="12"/>
      <c r="S686"/>
    </row>
    <row r="687" spans="1:19" x14ac:dyDescent="0.25">
      <c r="A687" s="12" t="str">
        <f t="shared" si="62"/>
        <v/>
      </c>
      <c r="B687" s="16"/>
      <c r="C687" s="17"/>
      <c r="D687" s="18"/>
      <c r="E687" s="29"/>
      <c r="F687" s="39"/>
      <c r="G687" s="40"/>
      <c r="H687" s="41"/>
      <c r="I687" s="42"/>
      <c r="J687" s="82">
        <f t="shared" si="63"/>
        <v>0</v>
      </c>
      <c r="K687" s="43"/>
      <c r="L687" s="83" t="str">
        <f t="shared" si="64"/>
        <v/>
      </c>
      <c r="M687" s="53"/>
      <c r="Q687" s="12"/>
      <c r="S687"/>
    </row>
    <row r="688" spans="1:19" x14ac:dyDescent="0.25">
      <c r="A688" s="12" t="str">
        <f t="shared" si="62"/>
        <v/>
      </c>
      <c r="B688" s="16"/>
      <c r="C688" s="17"/>
      <c r="D688" s="18"/>
      <c r="E688" s="29"/>
      <c r="F688" s="27"/>
      <c r="G688" s="28"/>
      <c r="H688" s="19"/>
      <c r="I688" s="23"/>
      <c r="J688" s="82">
        <f t="shared" si="63"/>
        <v>0</v>
      </c>
      <c r="K688" s="30"/>
      <c r="L688" s="83" t="str">
        <f t="shared" si="64"/>
        <v/>
      </c>
      <c r="M688" s="23"/>
      <c r="Q688" s="12"/>
      <c r="S688"/>
    </row>
    <row r="689" spans="1:19" x14ac:dyDescent="0.25">
      <c r="A689" s="12" t="str">
        <f t="shared" si="62"/>
        <v/>
      </c>
      <c r="B689" s="16"/>
      <c r="C689" s="17"/>
      <c r="D689" s="18"/>
      <c r="E689" s="29"/>
      <c r="F689" s="39"/>
      <c r="G689" s="40"/>
      <c r="H689" s="41"/>
      <c r="I689" s="42"/>
      <c r="J689" s="82">
        <f t="shared" si="63"/>
        <v>0</v>
      </c>
      <c r="K689" s="43"/>
      <c r="L689" s="83" t="str">
        <f t="shared" si="64"/>
        <v/>
      </c>
      <c r="M689" s="53"/>
      <c r="Q689" s="12"/>
      <c r="S689"/>
    </row>
    <row r="690" spans="1:19" x14ac:dyDescent="0.25">
      <c r="A690" s="12" t="str">
        <f t="shared" si="62"/>
        <v/>
      </c>
      <c r="B690" s="16"/>
      <c r="C690" s="17"/>
      <c r="D690" s="18"/>
      <c r="E690" s="29"/>
      <c r="F690" s="27"/>
      <c r="G690" s="28"/>
      <c r="H690" s="19"/>
      <c r="I690" s="23"/>
      <c r="J690" s="82">
        <f t="shared" si="63"/>
        <v>0</v>
      </c>
      <c r="K690" s="30"/>
      <c r="L690" s="83" t="str">
        <f t="shared" si="64"/>
        <v/>
      </c>
      <c r="M690" s="23"/>
      <c r="Q690" s="12"/>
      <c r="S690"/>
    </row>
    <row r="691" spans="1:19" x14ac:dyDescent="0.25">
      <c r="A691" s="12" t="str">
        <f t="shared" si="62"/>
        <v/>
      </c>
      <c r="B691" s="16"/>
      <c r="C691" s="17"/>
      <c r="D691" s="18"/>
      <c r="E691" s="29"/>
      <c r="F691" s="39"/>
      <c r="G691" s="40"/>
      <c r="H691" s="41"/>
      <c r="I691" s="42"/>
      <c r="J691" s="82">
        <f t="shared" si="63"/>
        <v>0</v>
      </c>
      <c r="K691" s="43"/>
      <c r="L691" s="83" t="str">
        <f t="shared" si="64"/>
        <v/>
      </c>
      <c r="M691" s="53"/>
      <c r="Q691" s="12"/>
      <c r="S691"/>
    </row>
    <row r="692" spans="1:19" x14ac:dyDescent="0.25">
      <c r="A692" s="12" t="str">
        <f t="shared" ref="A692:A755" si="65">IFERROR(DATE(B692,C692,D692),"")</f>
        <v/>
      </c>
      <c r="B692" s="16"/>
      <c r="C692" s="17"/>
      <c r="D692" s="18"/>
      <c r="E692" s="29"/>
      <c r="F692" s="27"/>
      <c r="G692" s="28"/>
      <c r="H692" s="19"/>
      <c r="I692" s="23"/>
      <c r="J692" s="82">
        <f t="shared" ref="J692:J755" si="66">IF(E692="entrada",H692*I692,H692*I692*-1)</f>
        <v>0</v>
      </c>
      <c r="K692" s="30"/>
      <c r="L692" s="83" t="str">
        <f t="shared" ref="L692:L755" si="67">IF(J692=0,"",SUM(L691,J692))</f>
        <v/>
      </c>
      <c r="M692" s="23"/>
      <c r="Q692" s="12"/>
      <c r="S692"/>
    </row>
    <row r="693" spans="1:19" x14ac:dyDescent="0.25">
      <c r="A693" s="12" t="str">
        <f t="shared" si="65"/>
        <v/>
      </c>
      <c r="B693" s="16"/>
      <c r="C693" s="17"/>
      <c r="D693" s="18"/>
      <c r="E693" s="29"/>
      <c r="F693" s="39"/>
      <c r="G693" s="40"/>
      <c r="H693" s="41"/>
      <c r="I693" s="42"/>
      <c r="J693" s="82">
        <f t="shared" si="66"/>
        <v>0</v>
      </c>
      <c r="K693" s="43"/>
      <c r="L693" s="83" t="str">
        <f t="shared" si="67"/>
        <v/>
      </c>
      <c r="M693" s="53"/>
      <c r="Q693" s="12"/>
      <c r="S693"/>
    </row>
    <row r="694" spans="1:19" x14ac:dyDescent="0.25">
      <c r="A694" s="12" t="str">
        <f t="shared" si="65"/>
        <v/>
      </c>
      <c r="B694" s="16"/>
      <c r="C694" s="17"/>
      <c r="D694" s="18"/>
      <c r="E694" s="29"/>
      <c r="F694" s="27"/>
      <c r="G694" s="28"/>
      <c r="H694" s="19"/>
      <c r="I694" s="23"/>
      <c r="J694" s="82">
        <f t="shared" si="66"/>
        <v>0</v>
      </c>
      <c r="K694" s="30"/>
      <c r="L694" s="83" t="str">
        <f t="shared" si="67"/>
        <v/>
      </c>
      <c r="M694" s="23"/>
      <c r="Q694" s="12"/>
      <c r="S694"/>
    </row>
    <row r="695" spans="1:19" x14ac:dyDescent="0.25">
      <c r="A695" s="12" t="str">
        <f t="shared" si="65"/>
        <v/>
      </c>
      <c r="B695" s="16"/>
      <c r="C695" s="17"/>
      <c r="D695" s="18"/>
      <c r="E695" s="29"/>
      <c r="F695" s="39"/>
      <c r="G695" s="40"/>
      <c r="H695" s="41"/>
      <c r="I695" s="42"/>
      <c r="J695" s="82">
        <f t="shared" si="66"/>
        <v>0</v>
      </c>
      <c r="K695" s="43"/>
      <c r="L695" s="83" t="str">
        <f t="shared" si="67"/>
        <v/>
      </c>
      <c r="M695" s="53"/>
      <c r="Q695" s="12"/>
      <c r="S695"/>
    </row>
    <row r="696" spans="1:19" x14ac:dyDescent="0.25">
      <c r="A696" s="12" t="str">
        <f t="shared" si="65"/>
        <v/>
      </c>
      <c r="B696" s="16"/>
      <c r="C696" s="17"/>
      <c r="D696" s="18"/>
      <c r="E696" s="29"/>
      <c r="F696" s="27"/>
      <c r="G696" s="28"/>
      <c r="H696" s="19"/>
      <c r="I696" s="23"/>
      <c r="J696" s="82">
        <f t="shared" si="66"/>
        <v>0</v>
      </c>
      <c r="K696" s="30"/>
      <c r="L696" s="83" t="str">
        <f t="shared" si="67"/>
        <v/>
      </c>
      <c r="M696" s="23"/>
      <c r="Q696" s="12"/>
      <c r="S696"/>
    </row>
    <row r="697" spans="1:19" x14ac:dyDescent="0.25">
      <c r="A697" s="12" t="str">
        <f t="shared" si="65"/>
        <v/>
      </c>
      <c r="B697" s="16"/>
      <c r="C697" s="17"/>
      <c r="D697" s="18"/>
      <c r="E697" s="29"/>
      <c r="F697" s="39"/>
      <c r="G697" s="40"/>
      <c r="H697" s="41"/>
      <c r="I697" s="42"/>
      <c r="J697" s="82">
        <f t="shared" si="66"/>
        <v>0</v>
      </c>
      <c r="K697" s="43"/>
      <c r="L697" s="83" t="str">
        <f t="shared" si="67"/>
        <v/>
      </c>
      <c r="M697" s="53"/>
      <c r="Q697" s="12"/>
      <c r="S697"/>
    </row>
    <row r="698" spans="1:19" x14ac:dyDescent="0.25">
      <c r="A698" s="12" t="str">
        <f t="shared" si="65"/>
        <v/>
      </c>
      <c r="B698" s="16"/>
      <c r="C698" s="17"/>
      <c r="D698" s="18"/>
      <c r="E698" s="29"/>
      <c r="F698" s="27"/>
      <c r="G698" s="28"/>
      <c r="H698" s="19"/>
      <c r="I698" s="23"/>
      <c r="J698" s="82">
        <f t="shared" si="66"/>
        <v>0</v>
      </c>
      <c r="K698" s="30"/>
      <c r="L698" s="83" t="str">
        <f t="shared" si="67"/>
        <v/>
      </c>
      <c r="M698" s="23"/>
      <c r="Q698" s="12"/>
      <c r="S698"/>
    </row>
    <row r="699" spans="1:19" x14ac:dyDescent="0.25">
      <c r="A699" s="12" t="str">
        <f t="shared" si="65"/>
        <v/>
      </c>
      <c r="B699" s="16"/>
      <c r="C699" s="17"/>
      <c r="D699" s="18"/>
      <c r="E699" s="29"/>
      <c r="F699" s="39"/>
      <c r="G699" s="40"/>
      <c r="H699" s="41"/>
      <c r="I699" s="42"/>
      <c r="J699" s="82">
        <f t="shared" si="66"/>
        <v>0</v>
      </c>
      <c r="K699" s="43"/>
      <c r="L699" s="83" t="str">
        <f t="shared" si="67"/>
        <v/>
      </c>
      <c r="M699" s="53"/>
      <c r="Q699" s="12"/>
      <c r="S699"/>
    </row>
    <row r="700" spans="1:19" x14ac:dyDescent="0.25">
      <c r="A700" s="12" t="str">
        <f t="shared" si="65"/>
        <v/>
      </c>
      <c r="B700" s="16"/>
      <c r="C700" s="17"/>
      <c r="D700" s="18"/>
      <c r="E700" s="29"/>
      <c r="F700" s="27"/>
      <c r="G700" s="28"/>
      <c r="H700" s="19"/>
      <c r="I700" s="23"/>
      <c r="J700" s="82">
        <f t="shared" si="66"/>
        <v>0</v>
      </c>
      <c r="K700" s="30"/>
      <c r="L700" s="83" t="str">
        <f t="shared" si="67"/>
        <v/>
      </c>
      <c r="M700" s="23"/>
      <c r="Q700" s="12"/>
      <c r="S700"/>
    </row>
    <row r="701" spans="1:19" x14ac:dyDescent="0.25">
      <c r="A701" s="12" t="str">
        <f t="shared" si="65"/>
        <v/>
      </c>
      <c r="B701" s="16"/>
      <c r="C701" s="17"/>
      <c r="D701" s="18"/>
      <c r="E701" s="29"/>
      <c r="F701" s="39"/>
      <c r="G701" s="40"/>
      <c r="H701" s="41"/>
      <c r="I701" s="42"/>
      <c r="J701" s="82">
        <f t="shared" si="66"/>
        <v>0</v>
      </c>
      <c r="K701" s="43"/>
      <c r="L701" s="83" t="str">
        <f t="shared" si="67"/>
        <v/>
      </c>
      <c r="M701" s="53"/>
      <c r="Q701" s="12"/>
      <c r="S701"/>
    </row>
    <row r="702" spans="1:19" x14ac:dyDescent="0.25">
      <c r="A702" s="12" t="str">
        <f t="shared" si="65"/>
        <v/>
      </c>
      <c r="B702" s="16"/>
      <c r="C702" s="17"/>
      <c r="D702" s="18"/>
      <c r="E702" s="29"/>
      <c r="F702" s="27"/>
      <c r="G702" s="28"/>
      <c r="H702" s="19"/>
      <c r="I702" s="23"/>
      <c r="J702" s="82">
        <f t="shared" si="66"/>
        <v>0</v>
      </c>
      <c r="K702" s="30"/>
      <c r="L702" s="83" t="str">
        <f t="shared" si="67"/>
        <v/>
      </c>
      <c r="M702" s="23"/>
      <c r="Q702" s="12"/>
      <c r="S702"/>
    </row>
    <row r="703" spans="1:19" x14ac:dyDescent="0.25">
      <c r="A703" s="12" t="str">
        <f t="shared" si="65"/>
        <v/>
      </c>
      <c r="B703" s="16"/>
      <c r="C703" s="17"/>
      <c r="D703" s="18"/>
      <c r="E703" s="29"/>
      <c r="F703" s="39"/>
      <c r="G703" s="40"/>
      <c r="H703" s="41"/>
      <c r="I703" s="42"/>
      <c r="J703" s="82">
        <f t="shared" si="66"/>
        <v>0</v>
      </c>
      <c r="K703" s="43"/>
      <c r="L703" s="83" t="str">
        <f t="shared" si="67"/>
        <v/>
      </c>
      <c r="M703" s="53"/>
      <c r="Q703" s="12"/>
      <c r="S703"/>
    </row>
    <row r="704" spans="1:19" x14ac:dyDescent="0.25">
      <c r="A704" s="12" t="str">
        <f t="shared" si="65"/>
        <v/>
      </c>
      <c r="B704" s="16"/>
      <c r="C704" s="17"/>
      <c r="D704" s="18"/>
      <c r="E704" s="29"/>
      <c r="F704" s="27"/>
      <c r="G704" s="28"/>
      <c r="H704" s="19"/>
      <c r="I704" s="23"/>
      <c r="J704" s="82">
        <f t="shared" si="66"/>
        <v>0</v>
      </c>
      <c r="K704" s="30"/>
      <c r="L704" s="83" t="str">
        <f t="shared" si="67"/>
        <v/>
      </c>
      <c r="M704" s="23"/>
      <c r="Q704" s="12"/>
      <c r="S704"/>
    </row>
    <row r="705" spans="1:19" x14ac:dyDescent="0.25">
      <c r="A705" s="12" t="str">
        <f t="shared" si="65"/>
        <v/>
      </c>
      <c r="B705" s="16"/>
      <c r="C705" s="17"/>
      <c r="D705" s="18"/>
      <c r="E705" s="29"/>
      <c r="F705" s="39"/>
      <c r="G705" s="40"/>
      <c r="H705" s="41"/>
      <c r="I705" s="42"/>
      <c r="J705" s="82">
        <f t="shared" si="66"/>
        <v>0</v>
      </c>
      <c r="K705" s="43"/>
      <c r="L705" s="83" t="str">
        <f t="shared" si="67"/>
        <v/>
      </c>
      <c r="M705" s="53"/>
      <c r="Q705" s="12"/>
      <c r="S705"/>
    </row>
    <row r="706" spans="1:19" x14ac:dyDescent="0.25">
      <c r="A706" s="12" t="str">
        <f t="shared" si="65"/>
        <v/>
      </c>
      <c r="B706" s="16"/>
      <c r="C706" s="17"/>
      <c r="D706" s="18"/>
      <c r="E706" s="29"/>
      <c r="F706" s="27"/>
      <c r="G706" s="28"/>
      <c r="H706" s="19"/>
      <c r="I706" s="23"/>
      <c r="J706" s="82">
        <f t="shared" si="66"/>
        <v>0</v>
      </c>
      <c r="K706" s="30"/>
      <c r="L706" s="83" t="str">
        <f t="shared" si="67"/>
        <v/>
      </c>
      <c r="M706" s="23"/>
      <c r="Q706" s="12"/>
      <c r="S706"/>
    </row>
    <row r="707" spans="1:19" x14ac:dyDescent="0.25">
      <c r="A707" s="12" t="str">
        <f t="shared" si="65"/>
        <v/>
      </c>
      <c r="B707" s="16"/>
      <c r="C707" s="17"/>
      <c r="D707" s="18"/>
      <c r="E707" s="29"/>
      <c r="F707" s="39"/>
      <c r="G707" s="40"/>
      <c r="H707" s="41"/>
      <c r="I707" s="42"/>
      <c r="J707" s="82">
        <f t="shared" si="66"/>
        <v>0</v>
      </c>
      <c r="K707" s="43"/>
      <c r="L707" s="83" t="str">
        <f t="shared" si="67"/>
        <v/>
      </c>
      <c r="M707" s="53"/>
      <c r="Q707" s="12"/>
      <c r="S707"/>
    </row>
    <row r="708" spans="1:19" x14ac:dyDescent="0.25">
      <c r="A708" s="12" t="str">
        <f t="shared" si="65"/>
        <v/>
      </c>
      <c r="B708" s="16"/>
      <c r="C708" s="17"/>
      <c r="D708" s="18"/>
      <c r="E708" s="29"/>
      <c r="F708" s="27"/>
      <c r="G708" s="28"/>
      <c r="H708" s="19"/>
      <c r="I708" s="23"/>
      <c r="J708" s="82">
        <f t="shared" si="66"/>
        <v>0</v>
      </c>
      <c r="K708" s="30"/>
      <c r="L708" s="83" t="str">
        <f t="shared" si="67"/>
        <v/>
      </c>
      <c r="M708" s="23"/>
      <c r="Q708" s="12"/>
      <c r="S708"/>
    </row>
    <row r="709" spans="1:19" x14ac:dyDescent="0.25">
      <c r="A709" s="12" t="str">
        <f t="shared" si="65"/>
        <v/>
      </c>
      <c r="B709" s="16"/>
      <c r="C709" s="17"/>
      <c r="D709" s="18"/>
      <c r="E709" s="29"/>
      <c r="F709" s="39"/>
      <c r="G709" s="40"/>
      <c r="H709" s="41"/>
      <c r="I709" s="42"/>
      <c r="J709" s="82">
        <f t="shared" si="66"/>
        <v>0</v>
      </c>
      <c r="K709" s="43"/>
      <c r="L709" s="83" t="str">
        <f t="shared" si="67"/>
        <v/>
      </c>
      <c r="M709" s="53"/>
      <c r="Q709" s="12"/>
      <c r="S709"/>
    </row>
    <row r="710" spans="1:19" x14ac:dyDescent="0.25">
      <c r="A710" s="12" t="str">
        <f t="shared" si="65"/>
        <v/>
      </c>
      <c r="B710" s="16"/>
      <c r="C710" s="17"/>
      <c r="D710" s="18"/>
      <c r="E710" s="29"/>
      <c r="F710" s="27"/>
      <c r="G710" s="28"/>
      <c r="H710" s="19"/>
      <c r="I710" s="23"/>
      <c r="J710" s="82">
        <f t="shared" si="66"/>
        <v>0</v>
      </c>
      <c r="K710" s="30"/>
      <c r="L710" s="83" t="str">
        <f t="shared" si="67"/>
        <v/>
      </c>
      <c r="M710" s="23"/>
      <c r="Q710" s="12"/>
      <c r="S710"/>
    </row>
    <row r="711" spans="1:19" x14ac:dyDescent="0.25">
      <c r="A711" s="12" t="str">
        <f t="shared" si="65"/>
        <v/>
      </c>
      <c r="B711" s="16"/>
      <c r="C711" s="17"/>
      <c r="D711" s="18"/>
      <c r="E711" s="29"/>
      <c r="F711" s="39"/>
      <c r="G711" s="40"/>
      <c r="H711" s="41"/>
      <c r="I711" s="42"/>
      <c r="J711" s="82">
        <f t="shared" si="66"/>
        <v>0</v>
      </c>
      <c r="K711" s="43"/>
      <c r="L711" s="83" t="str">
        <f t="shared" si="67"/>
        <v/>
      </c>
      <c r="M711" s="53"/>
      <c r="Q711" s="12"/>
      <c r="S711"/>
    </row>
    <row r="712" spans="1:19" x14ac:dyDescent="0.25">
      <c r="A712" s="12" t="str">
        <f t="shared" si="65"/>
        <v/>
      </c>
      <c r="B712" s="16"/>
      <c r="C712" s="17"/>
      <c r="D712" s="18"/>
      <c r="E712" s="29"/>
      <c r="F712" s="27"/>
      <c r="G712" s="28"/>
      <c r="H712" s="19"/>
      <c r="I712" s="23"/>
      <c r="J712" s="82">
        <f t="shared" si="66"/>
        <v>0</v>
      </c>
      <c r="K712" s="30"/>
      <c r="L712" s="83" t="str">
        <f t="shared" si="67"/>
        <v/>
      </c>
      <c r="M712" s="23"/>
      <c r="Q712" s="12"/>
      <c r="S712"/>
    </row>
    <row r="713" spans="1:19" x14ac:dyDescent="0.25">
      <c r="A713" s="12" t="str">
        <f t="shared" si="65"/>
        <v/>
      </c>
      <c r="B713" s="16"/>
      <c r="C713" s="17"/>
      <c r="D713" s="18"/>
      <c r="E713" s="29"/>
      <c r="F713" s="39"/>
      <c r="G713" s="40"/>
      <c r="H713" s="41"/>
      <c r="I713" s="42"/>
      <c r="J713" s="82">
        <f t="shared" si="66"/>
        <v>0</v>
      </c>
      <c r="K713" s="43"/>
      <c r="L713" s="83" t="str">
        <f t="shared" si="67"/>
        <v/>
      </c>
      <c r="M713" s="53"/>
      <c r="Q713" s="12"/>
      <c r="S713"/>
    </row>
    <row r="714" spans="1:19" x14ac:dyDescent="0.25">
      <c r="A714" s="12" t="str">
        <f t="shared" si="65"/>
        <v/>
      </c>
      <c r="B714" s="16"/>
      <c r="C714" s="17"/>
      <c r="D714" s="18"/>
      <c r="E714" s="29"/>
      <c r="F714" s="27"/>
      <c r="G714" s="28"/>
      <c r="H714" s="19"/>
      <c r="I714" s="23"/>
      <c r="J714" s="82">
        <f t="shared" si="66"/>
        <v>0</v>
      </c>
      <c r="K714" s="30"/>
      <c r="L714" s="83" t="str">
        <f t="shared" si="67"/>
        <v/>
      </c>
      <c r="M714" s="23"/>
      <c r="Q714" s="12"/>
      <c r="S714"/>
    </row>
    <row r="715" spans="1:19" x14ac:dyDescent="0.25">
      <c r="A715" s="12" t="str">
        <f t="shared" si="65"/>
        <v/>
      </c>
      <c r="B715" s="16"/>
      <c r="C715" s="17"/>
      <c r="D715" s="18"/>
      <c r="E715" s="29"/>
      <c r="F715" s="39"/>
      <c r="G715" s="40"/>
      <c r="H715" s="41"/>
      <c r="I715" s="42"/>
      <c r="J715" s="82">
        <f t="shared" si="66"/>
        <v>0</v>
      </c>
      <c r="K715" s="43"/>
      <c r="L715" s="83" t="str">
        <f t="shared" si="67"/>
        <v/>
      </c>
      <c r="M715" s="53"/>
      <c r="Q715" s="12"/>
      <c r="S715"/>
    </row>
    <row r="716" spans="1:19" x14ac:dyDescent="0.25">
      <c r="A716" s="12" t="str">
        <f t="shared" si="65"/>
        <v/>
      </c>
      <c r="B716" s="16"/>
      <c r="C716" s="17"/>
      <c r="D716" s="18"/>
      <c r="E716" s="29"/>
      <c r="F716" s="27"/>
      <c r="G716" s="28"/>
      <c r="H716" s="19"/>
      <c r="I716" s="23"/>
      <c r="J716" s="82">
        <f t="shared" si="66"/>
        <v>0</v>
      </c>
      <c r="K716" s="30"/>
      <c r="L716" s="83" t="str">
        <f t="shared" si="67"/>
        <v/>
      </c>
      <c r="M716" s="23"/>
      <c r="Q716" s="12"/>
      <c r="S716"/>
    </row>
    <row r="717" spans="1:19" x14ac:dyDescent="0.25">
      <c r="A717" s="12" t="str">
        <f t="shared" si="65"/>
        <v/>
      </c>
      <c r="B717" s="16"/>
      <c r="C717" s="17"/>
      <c r="D717" s="18"/>
      <c r="E717" s="29"/>
      <c r="F717" s="39"/>
      <c r="G717" s="40"/>
      <c r="H717" s="41"/>
      <c r="I717" s="42"/>
      <c r="J717" s="82">
        <f t="shared" si="66"/>
        <v>0</v>
      </c>
      <c r="K717" s="43"/>
      <c r="L717" s="83" t="str">
        <f t="shared" si="67"/>
        <v/>
      </c>
      <c r="M717" s="53"/>
      <c r="Q717" s="12"/>
      <c r="S717"/>
    </row>
    <row r="718" spans="1:19" x14ac:dyDescent="0.25">
      <c r="A718" s="12" t="str">
        <f t="shared" si="65"/>
        <v/>
      </c>
      <c r="B718" s="16"/>
      <c r="C718" s="17"/>
      <c r="D718" s="18"/>
      <c r="E718" s="29"/>
      <c r="F718" s="27"/>
      <c r="G718" s="28"/>
      <c r="H718" s="19"/>
      <c r="I718" s="23"/>
      <c r="J718" s="82">
        <f t="shared" si="66"/>
        <v>0</v>
      </c>
      <c r="K718" s="30"/>
      <c r="L718" s="83" t="str">
        <f t="shared" si="67"/>
        <v/>
      </c>
      <c r="M718" s="23"/>
      <c r="Q718" s="12"/>
      <c r="S718"/>
    </row>
    <row r="719" spans="1:19" x14ac:dyDescent="0.25">
      <c r="A719" s="12" t="str">
        <f t="shared" si="65"/>
        <v/>
      </c>
      <c r="B719" s="16"/>
      <c r="C719" s="17"/>
      <c r="D719" s="18"/>
      <c r="E719" s="29"/>
      <c r="F719" s="39"/>
      <c r="G719" s="40"/>
      <c r="H719" s="41"/>
      <c r="I719" s="42"/>
      <c r="J719" s="82">
        <f t="shared" si="66"/>
        <v>0</v>
      </c>
      <c r="K719" s="43"/>
      <c r="L719" s="83" t="str">
        <f t="shared" si="67"/>
        <v/>
      </c>
      <c r="M719" s="53"/>
      <c r="Q719" s="12"/>
      <c r="S719"/>
    </row>
    <row r="720" spans="1:19" x14ac:dyDescent="0.25">
      <c r="A720" s="12" t="str">
        <f t="shared" si="65"/>
        <v/>
      </c>
      <c r="B720" s="16"/>
      <c r="C720" s="17"/>
      <c r="D720" s="18"/>
      <c r="E720" s="29"/>
      <c r="F720" s="27"/>
      <c r="G720" s="28"/>
      <c r="H720" s="19"/>
      <c r="I720" s="23"/>
      <c r="J720" s="82">
        <f t="shared" si="66"/>
        <v>0</v>
      </c>
      <c r="K720" s="30"/>
      <c r="L720" s="83" t="str">
        <f t="shared" si="67"/>
        <v/>
      </c>
      <c r="M720" s="23"/>
      <c r="Q720" s="12"/>
      <c r="S720"/>
    </row>
    <row r="721" spans="1:19" x14ac:dyDescent="0.25">
      <c r="A721" s="12" t="str">
        <f t="shared" si="65"/>
        <v/>
      </c>
      <c r="B721" s="16"/>
      <c r="C721" s="17"/>
      <c r="D721" s="18"/>
      <c r="E721" s="29"/>
      <c r="F721" s="39"/>
      <c r="G721" s="40"/>
      <c r="H721" s="41"/>
      <c r="I721" s="42"/>
      <c r="J721" s="82">
        <f t="shared" si="66"/>
        <v>0</v>
      </c>
      <c r="K721" s="43"/>
      <c r="L721" s="83" t="str">
        <f t="shared" si="67"/>
        <v/>
      </c>
      <c r="M721" s="53"/>
      <c r="Q721" s="12"/>
      <c r="S721"/>
    </row>
    <row r="722" spans="1:19" x14ac:dyDescent="0.25">
      <c r="A722" s="12" t="str">
        <f t="shared" si="65"/>
        <v/>
      </c>
      <c r="B722" s="16"/>
      <c r="C722" s="17"/>
      <c r="D722" s="18"/>
      <c r="E722" s="29"/>
      <c r="F722" s="27"/>
      <c r="G722" s="28"/>
      <c r="H722" s="19"/>
      <c r="I722" s="23"/>
      <c r="J722" s="82">
        <f t="shared" si="66"/>
        <v>0</v>
      </c>
      <c r="K722" s="30"/>
      <c r="L722" s="83" t="str">
        <f t="shared" si="67"/>
        <v/>
      </c>
      <c r="M722" s="23"/>
      <c r="Q722" s="12"/>
      <c r="S722"/>
    </row>
    <row r="723" spans="1:19" x14ac:dyDescent="0.25">
      <c r="A723" s="12" t="str">
        <f t="shared" si="65"/>
        <v/>
      </c>
      <c r="B723" s="16"/>
      <c r="C723" s="17"/>
      <c r="D723" s="18"/>
      <c r="E723" s="29"/>
      <c r="F723" s="39"/>
      <c r="G723" s="40"/>
      <c r="H723" s="41"/>
      <c r="I723" s="42"/>
      <c r="J723" s="82">
        <f t="shared" si="66"/>
        <v>0</v>
      </c>
      <c r="K723" s="43"/>
      <c r="L723" s="83" t="str">
        <f t="shared" si="67"/>
        <v/>
      </c>
      <c r="M723" s="53"/>
      <c r="Q723" s="12"/>
      <c r="S723"/>
    </row>
    <row r="724" spans="1:19" x14ac:dyDescent="0.25">
      <c r="A724" s="12" t="str">
        <f t="shared" si="65"/>
        <v/>
      </c>
      <c r="B724" s="16"/>
      <c r="C724" s="17"/>
      <c r="D724" s="18"/>
      <c r="E724" s="29"/>
      <c r="F724" s="27"/>
      <c r="G724" s="28"/>
      <c r="H724" s="19"/>
      <c r="I724" s="23"/>
      <c r="J724" s="82">
        <f t="shared" si="66"/>
        <v>0</v>
      </c>
      <c r="K724" s="30"/>
      <c r="L724" s="83" t="str">
        <f t="shared" si="67"/>
        <v/>
      </c>
      <c r="M724" s="23"/>
      <c r="Q724" s="12"/>
      <c r="S724"/>
    </row>
    <row r="725" spans="1:19" x14ac:dyDescent="0.25">
      <c r="A725" s="12" t="str">
        <f t="shared" si="65"/>
        <v/>
      </c>
      <c r="B725" s="16"/>
      <c r="C725" s="17"/>
      <c r="D725" s="18"/>
      <c r="E725" s="29"/>
      <c r="F725" s="39"/>
      <c r="G725" s="40"/>
      <c r="H725" s="41"/>
      <c r="I725" s="42"/>
      <c r="J725" s="82">
        <f t="shared" si="66"/>
        <v>0</v>
      </c>
      <c r="K725" s="43"/>
      <c r="L725" s="83" t="str">
        <f t="shared" si="67"/>
        <v/>
      </c>
      <c r="M725" s="53"/>
      <c r="Q725" s="12"/>
      <c r="S725"/>
    </row>
    <row r="726" spans="1:19" x14ac:dyDescent="0.25">
      <c r="A726" s="12" t="str">
        <f t="shared" si="65"/>
        <v/>
      </c>
      <c r="B726" s="16"/>
      <c r="C726" s="17"/>
      <c r="D726" s="18"/>
      <c r="E726" s="29"/>
      <c r="F726" s="27"/>
      <c r="G726" s="28"/>
      <c r="H726" s="19"/>
      <c r="I726" s="23"/>
      <c r="J726" s="82">
        <f t="shared" si="66"/>
        <v>0</v>
      </c>
      <c r="K726" s="30"/>
      <c r="L726" s="83" t="str">
        <f t="shared" si="67"/>
        <v/>
      </c>
      <c r="M726" s="23"/>
      <c r="Q726" s="12"/>
      <c r="S726"/>
    </row>
    <row r="727" spans="1:19" x14ac:dyDescent="0.25">
      <c r="A727" s="12" t="str">
        <f t="shared" si="65"/>
        <v/>
      </c>
      <c r="B727" s="16"/>
      <c r="C727" s="17"/>
      <c r="D727" s="18"/>
      <c r="E727" s="29"/>
      <c r="F727" s="39"/>
      <c r="G727" s="40"/>
      <c r="H727" s="41"/>
      <c r="I727" s="42"/>
      <c r="J727" s="82">
        <f t="shared" si="66"/>
        <v>0</v>
      </c>
      <c r="K727" s="43"/>
      <c r="L727" s="83" t="str">
        <f t="shared" si="67"/>
        <v/>
      </c>
      <c r="M727" s="53"/>
      <c r="Q727" s="12"/>
      <c r="S727"/>
    </row>
    <row r="728" spans="1:19" x14ac:dyDescent="0.25">
      <c r="A728" s="12" t="str">
        <f t="shared" si="65"/>
        <v/>
      </c>
      <c r="B728" s="16"/>
      <c r="C728" s="17"/>
      <c r="D728" s="18"/>
      <c r="E728" s="29"/>
      <c r="F728" s="27"/>
      <c r="G728" s="28"/>
      <c r="H728" s="19"/>
      <c r="I728" s="23"/>
      <c r="J728" s="82">
        <f t="shared" si="66"/>
        <v>0</v>
      </c>
      <c r="K728" s="30"/>
      <c r="L728" s="83" t="str">
        <f t="shared" si="67"/>
        <v/>
      </c>
      <c r="M728" s="23"/>
      <c r="Q728" s="12"/>
      <c r="S728"/>
    </row>
    <row r="729" spans="1:19" x14ac:dyDescent="0.25">
      <c r="A729" s="12" t="str">
        <f t="shared" si="65"/>
        <v/>
      </c>
      <c r="B729" s="16"/>
      <c r="C729" s="17"/>
      <c r="D729" s="18"/>
      <c r="E729" s="29"/>
      <c r="F729" s="39"/>
      <c r="G729" s="40"/>
      <c r="H729" s="41"/>
      <c r="I729" s="42"/>
      <c r="J729" s="82">
        <f t="shared" si="66"/>
        <v>0</v>
      </c>
      <c r="K729" s="43"/>
      <c r="L729" s="83" t="str">
        <f t="shared" si="67"/>
        <v/>
      </c>
      <c r="M729" s="53"/>
      <c r="Q729" s="12"/>
      <c r="S729"/>
    </row>
    <row r="730" spans="1:19" x14ac:dyDescent="0.25">
      <c r="A730" s="12" t="str">
        <f t="shared" si="65"/>
        <v/>
      </c>
      <c r="B730" s="16"/>
      <c r="C730" s="17"/>
      <c r="D730" s="18"/>
      <c r="E730" s="29"/>
      <c r="F730" s="27"/>
      <c r="G730" s="28"/>
      <c r="H730" s="19"/>
      <c r="I730" s="23"/>
      <c r="J730" s="82">
        <f t="shared" si="66"/>
        <v>0</v>
      </c>
      <c r="K730" s="30"/>
      <c r="L730" s="83" t="str">
        <f t="shared" si="67"/>
        <v/>
      </c>
      <c r="M730" s="23"/>
      <c r="Q730" s="12"/>
      <c r="S730"/>
    </row>
    <row r="731" spans="1:19" x14ac:dyDescent="0.25">
      <c r="A731" s="12" t="str">
        <f t="shared" si="65"/>
        <v/>
      </c>
      <c r="B731" s="16"/>
      <c r="C731" s="17"/>
      <c r="D731" s="18"/>
      <c r="E731" s="29"/>
      <c r="F731" s="39"/>
      <c r="G731" s="40"/>
      <c r="H731" s="41"/>
      <c r="I731" s="42"/>
      <c r="J731" s="82">
        <f t="shared" si="66"/>
        <v>0</v>
      </c>
      <c r="K731" s="43"/>
      <c r="L731" s="83" t="str">
        <f t="shared" si="67"/>
        <v/>
      </c>
      <c r="M731" s="53"/>
      <c r="Q731" s="12"/>
      <c r="S731"/>
    </row>
    <row r="732" spans="1:19" x14ac:dyDescent="0.25">
      <c r="A732" s="12" t="str">
        <f t="shared" si="65"/>
        <v/>
      </c>
      <c r="B732" s="16"/>
      <c r="C732" s="17"/>
      <c r="D732" s="18"/>
      <c r="E732" s="29"/>
      <c r="F732" s="27"/>
      <c r="G732" s="28"/>
      <c r="H732" s="19"/>
      <c r="I732" s="23"/>
      <c r="J732" s="82">
        <f t="shared" si="66"/>
        <v>0</v>
      </c>
      <c r="K732" s="30"/>
      <c r="L732" s="83" t="str">
        <f t="shared" si="67"/>
        <v/>
      </c>
      <c r="M732" s="23"/>
      <c r="Q732" s="12"/>
      <c r="S732"/>
    </row>
    <row r="733" spans="1:19" x14ac:dyDescent="0.25">
      <c r="A733" s="12" t="str">
        <f t="shared" si="65"/>
        <v/>
      </c>
      <c r="B733" s="16"/>
      <c r="C733" s="17"/>
      <c r="D733" s="18"/>
      <c r="E733" s="29"/>
      <c r="F733" s="39"/>
      <c r="G733" s="40"/>
      <c r="H733" s="41"/>
      <c r="I733" s="42"/>
      <c r="J733" s="82">
        <f t="shared" si="66"/>
        <v>0</v>
      </c>
      <c r="K733" s="43"/>
      <c r="L733" s="83" t="str">
        <f t="shared" si="67"/>
        <v/>
      </c>
      <c r="M733" s="53"/>
      <c r="Q733" s="12"/>
      <c r="S733"/>
    </row>
    <row r="734" spans="1:19" x14ac:dyDescent="0.25">
      <c r="A734" s="12" t="str">
        <f t="shared" si="65"/>
        <v/>
      </c>
      <c r="B734" s="16"/>
      <c r="C734" s="17"/>
      <c r="D734" s="18"/>
      <c r="E734" s="29"/>
      <c r="F734" s="27"/>
      <c r="G734" s="28"/>
      <c r="H734" s="19"/>
      <c r="I734" s="23"/>
      <c r="J734" s="82">
        <f t="shared" si="66"/>
        <v>0</v>
      </c>
      <c r="K734" s="30"/>
      <c r="L734" s="83" t="str">
        <f t="shared" si="67"/>
        <v/>
      </c>
      <c r="M734" s="23"/>
      <c r="Q734" s="12"/>
      <c r="S734"/>
    </row>
    <row r="735" spans="1:19" x14ac:dyDescent="0.25">
      <c r="A735" s="12" t="str">
        <f t="shared" si="65"/>
        <v/>
      </c>
      <c r="B735" s="16"/>
      <c r="C735" s="17"/>
      <c r="D735" s="18"/>
      <c r="E735" s="29"/>
      <c r="F735" s="39"/>
      <c r="G735" s="40"/>
      <c r="H735" s="41"/>
      <c r="I735" s="42"/>
      <c r="J735" s="82">
        <f t="shared" si="66"/>
        <v>0</v>
      </c>
      <c r="K735" s="43"/>
      <c r="L735" s="83" t="str">
        <f t="shared" si="67"/>
        <v/>
      </c>
      <c r="M735" s="53"/>
      <c r="Q735" s="12"/>
      <c r="S735"/>
    </row>
    <row r="736" spans="1:19" x14ac:dyDescent="0.25">
      <c r="A736" s="12" t="str">
        <f t="shared" si="65"/>
        <v/>
      </c>
      <c r="B736" s="16"/>
      <c r="C736" s="17"/>
      <c r="D736" s="18"/>
      <c r="E736" s="29"/>
      <c r="F736" s="27"/>
      <c r="G736" s="28"/>
      <c r="H736" s="19"/>
      <c r="I736" s="23"/>
      <c r="J736" s="82">
        <f t="shared" si="66"/>
        <v>0</v>
      </c>
      <c r="K736" s="30"/>
      <c r="L736" s="83" t="str">
        <f t="shared" si="67"/>
        <v/>
      </c>
      <c r="M736" s="23"/>
      <c r="Q736" s="12"/>
      <c r="S736"/>
    </row>
    <row r="737" spans="1:19" x14ac:dyDescent="0.25">
      <c r="A737" s="12" t="str">
        <f t="shared" si="65"/>
        <v/>
      </c>
      <c r="B737" s="16"/>
      <c r="C737" s="17"/>
      <c r="D737" s="18"/>
      <c r="E737" s="29"/>
      <c r="F737" s="39"/>
      <c r="G737" s="40"/>
      <c r="H737" s="41"/>
      <c r="I737" s="42"/>
      <c r="J737" s="82">
        <f t="shared" si="66"/>
        <v>0</v>
      </c>
      <c r="K737" s="43"/>
      <c r="L737" s="83" t="str">
        <f t="shared" si="67"/>
        <v/>
      </c>
      <c r="M737" s="53"/>
      <c r="Q737" s="12"/>
      <c r="S737"/>
    </row>
    <row r="738" spans="1:19" x14ac:dyDescent="0.25">
      <c r="A738" s="12" t="str">
        <f t="shared" si="65"/>
        <v/>
      </c>
      <c r="B738" s="16"/>
      <c r="C738" s="17"/>
      <c r="D738" s="18"/>
      <c r="E738" s="29"/>
      <c r="F738" s="27"/>
      <c r="G738" s="28"/>
      <c r="H738" s="19"/>
      <c r="I738" s="23"/>
      <c r="J738" s="82">
        <f t="shared" si="66"/>
        <v>0</v>
      </c>
      <c r="K738" s="30"/>
      <c r="L738" s="83" t="str">
        <f t="shared" si="67"/>
        <v/>
      </c>
      <c r="M738" s="23"/>
      <c r="Q738" s="12"/>
      <c r="S738"/>
    </row>
    <row r="739" spans="1:19" x14ac:dyDescent="0.25">
      <c r="A739" s="12" t="str">
        <f t="shared" si="65"/>
        <v/>
      </c>
      <c r="B739" s="16"/>
      <c r="C739" s="17"/>
      <c r="D739" s="18"/>
      <c r="E739" s="29"/>
      <c r="F739" s="39"/>
      <c r="G739" s="40"/>
      <c r="H739" s="41"/>
      <c r="I739" s="42"/>
      <c r="J739" s="82">
        <f t="shared" si="66"/>
        <v>0</v>
      </c>
      <c r="K739" s="43"/>
      <c r="L739" s="83" t="str">
        <f t="shared" si="67"/>
        <v/>
      </c>
      <c r="M739" s="53"/>
      <c r="Q739" s="12"/>
      <c r="S739"/>
    </row>
    <row r="740" spans="1:19" x14ac:dyDescent="0.25">
      <c r="A740" s="12" t="str">
        <f t="shared" si="65"/>
        <v/>
      </c>
      <c r="B740" s="16"/>
      <c r="C740" s="17"/>
      <c r="D740" s="18"/>
      <c r="E740" s="29"/>
      <c r="F740" s="27"/>
      <c r="G740" s="28"/>
      <c r="H740" s="19"/>
      <c r="I740" s="23"/>
      <c r="J740" s="82">
        <f t="shared" si="66"/>
        <v>0</v>
      </c>
      <c r="K740" s="30"/>
      <c r="L740" s="83" t="str">
        <f t="shared" si="67"/>
        <v/>
      </c>
      <c r="M740" s="23"/>
      <c r="Q740" s="12"/>
      <c r="S740"/>
    </row>
    <row r="741" spans="1:19" x14ac:dyDescent="0.25">
      <c r="A741" s="12" t="str">
        <f t="shared" si="65"/>
        <v/>
      </c>
      <c r="B741" s="16"/>
      <c r="C741" s="17"/>
      <c r="D741" s="18"/>
      <c r="E741" s="29"/>
      <c r="F741" s="39"/>
      <c r="G741" s="40"/>
      <c r="H741" s="41"/>
      <c r="I741" s="42"/>
      <c r="J741" s="82">
        <f t="shared" si="66"/>
        <v>0</v>
      </c>
      <c r="K741" s="43"/>
      <c r="L741" s="83" t="str">
        <f t="shared" si="67"/>
        <v/>
      </c>
      <c r="M741" s="53"/>
      <c r="Q741" s="12"/>
      <c r="S741"/>
    </row>
    <row r="742" spans="1:19" x14ac:dyDescent="0.25">
      <c r="A742" s="12" t="str">
        <f t="shared" si="65"/>
        <v/>
      </c>
      <c r="B742" s="16"/>
      <c r="C742" s="17"/>
      <c r="D742" s="18"/>
      <c r="E742" s="29"/>
      <c r="F742" s="27"/>
      <c r="G742" s="28"/>
      <c r="H742" s="19"/>
      <c r="I742" s="23"/>
      <c r="J742" s="82">
        <f t="shared" si="66"/>
        <v>0</v>
      </c>
      <c r="K742" s="30"/>
      <c r="L742" s="83" t="str">
        <f t="shared" si="67"/>
        <v/>
      </c>
      <c r="M742" s="23"/>
      <c r="Q742" s="12"/>
      <c r="S742"/>
    </row>
    <row r="743" spans="1:19" x14ac:dyDescent="0.25">
      <c r="A743" s="12" t="str">
        <f t="shared" si="65"/>
        <v/>
      </c>
      <c r="B743" s="16"/>
      <c r="C743" s="17"/>
      <c r="D743" s="18"/>
      <c r="E743" s="29"/>
      <c r="F743" s="39"/>
      <c r="G743" s="40"/>
      <c r="H743" s="41"/>
      <c r="I743" s="42"/>
      <c r="J743" s="82">
        <f t="shared" si="66"/>
        <v>0</v>
      </c>
      <c r="K743" s="43"/>
      <c r="L743" s="83" t="str">
        <f t="shared" si="67"/>
        <v/>
      </c>
      <c r="M743" s="53"/>
      <c r="Q743" s="12"/>
      <c r="S743"/>
    </row>
    <row r="744" spans="1:19" x14ac:dyDescent="0.25">
      <c r="A744" s="12" t="str">
        <f t="shared" si="65"/>
        <v/>
      </c>
      <c r="B744" s="16"/>
      <c r="C744" s="17"/>
      <c r="D744" s="18"/>
      <c r="E744" s="29"/>
      <c r="F744" s="27"/>
      <c r="G744" s="28"/>
      <c r="H744" s="19"/>
      <c r="I744" s="23"/>
      <c r="J744" s="82">
        <f t="shared" si="66"/>
        <v>0</v>
      </c>
      <c r="K744" s="30"/>
      <c r="L744" s="83" t="str">
        <f t="shared" si="67"/>
        <v/>
      </c>
      <c r="M744" s="23"/>
      <c r="Q744" s="12"/>
      <c r="S744"/>
    </row>
    <row r="745" spans="1:19" x14ac:dyDescent="0.25">
      <c r="A745" s="12" t="str">
        <f t="shared" si="65"/>
        <v/>
      </c>
      <c r="B745" s="16"/>
      <c r="C745" s="17"/>
      <c r="D745" s="18"/>
      <c r="E745" s="29"/>
      <c r="F745" s="39"/>
      <c r="G745" s="40"/>
      <c r="H745" s="41"/>
      <c r="I745" s="42"/>
      <c r="J745" s="82">
        <f t="shared" si="66"/>
        <v>0</v>
      </c>
      <c r="K745" s="43"/>
      <c r="L745" s="83" t="str">
        <f t="shared" si="67"/>
        <v/>
      </c>
      <c r="M745" s="53"/>
      <c r="Q745" s="12"/>
      <c r="S745"/>
    </row>
    <row r="746" spans="1:19" x14ac:dyDescent="0.25">
      <c r="A746" s="12" t="str">
        <f t="shared" si="65"/>
        <v/>
      </c>
      <c r="B746" s="16"/>
      <c r="C746" s="17"/>
      <c r="D746" s="18"/>
      <c r="E746" s="29"/>
      <c r="F746" s="27"/>
      <c r="G746" s="28"/>
      <c r="H746" s="19"/>
      <c r="I746" s="23"/>
      <c r="J746" s="82">
        <f t="shared" si="66"/>
        <v>0</v>
      </c>
      <c r="K746" s="30"/>
      <c r="L746" s="83" t="str">
        <f t="shared" si="67"/>
        <v/>
      </c>
      <c r="M746" s="23"/>
      <c r="Q746" s="12"/>
      <c r="S746"/>
    </row>
    <row r="747" spans="1:19" x14ac:dyDescent="0.25">
      <c r="A747" s="12" t="str">
        <f t="shared" si="65"/>
        <v/>
      </c>
      <c r="B747" s="16"/>
      <c r="C747" s="17"/>
      <c r="D747" s="18"/>
      <c r="E747" s="29"/>
      <c r="F747" s="39"/>
      <c r="G747" s="40"/>
      <c r="H747" s="41"/>
      <c r="I747" s="42"/>
      <c r="J747" s="82">
        <f t="shared" si="66"/>
        <v>0</v>
      </c>
      <c r="K747" s="43"/>
      <c r="L747" s="83" t="str">
        <f t="shared" si="67"/>
        <v/>
      </c>
      <c r="M747" s="53"/>
      <c r="Q747" s="12"/>
      <c r="S747"/>
    </row>
    <row r="748" spans="1:19" x14ac:dyDescent="0.25">
      <c r="A748" s="12" t="str">
        <f t="shared" si="65"/>
        <v/>
      </c>
      <c r="B748" s="16"/>
      <c r="C748" s="17"/>
      <c r="D748" s="18"/>
      <c r="E748" s="29"/>
      <c r="F748" s="27"/>
      <c r="G748" s="28"/>
      <c r="H748" s="19"/>
      <c r="I748" s="23"/>
      <c r="J748" s="82">
        <f t="shared" si="66"/>
        <v>0</v>
      </c>
      <c r="K748" s="30"/>
      <c r="L748" s="83" t="str">
        <f t="shared" si="67"/>
        <v/>
      </c>
      <c r="M748" s="23"/>
      <c r="Q748" s="12"/>
      <c r="S748"/>
    </row>
    <row r="749" spans="1:19" x14ac:dyDescent="0.25">
      <c r="A749" s="12" t="str">
        <f t="shared" si="65"/>
        <v/>
      </c>
      <c r="B749" s="16"/>
      <c r="C749" s="17"/>
      <c r="D749" s="18"/>
      <c r="E749" s="29"/>
      <c r="F749" s="39"/>
      <c r="G749" s="40"/>
      <c r="H749" s="41"/>
      <c r="I749" s="42"/>
      <c r="J749" s="82">
        <f t="shared" si="66"/>
        <v>0</v>
      </c>
      <c r="K749" s="43"/>
      <c r="L749" s="83" t="str">
        <f t="shared" si="67"/>
        <v/>
      </c>
      <c r="M749" s="53"/>
      <c r="Q749" s="12"/>
      <c r="S749"/>
    </row>
    <row r="750" spans="1:19" x14ac:dyDescent="0.25">
      <c r="A750" s="12" t="str">
        <f t="shared" si="65"/>
        <v/>
      </c>
      <c r="B750" s="16"/>
      <c r="C750" s="17"/>
      <c r="D750" s="18"/>
      <c r="E750" s="29"/>
      <c r="F750" s="27"/>
      <c r="G750" s="28"/>
      <c r="H750" s="19"/>
      <c r="I750" s="23"/>
      <c r="J750" s="82">
        <f t="shared" si="66"/>
        <v>0</v>
      </c>
      <c r="K750" s="30"/>
      <c r="L750" s="83" t="str">
        <f t="shared" si="67"/>
        <v/>
      </c>
      <c r="M750" s="23"/>
      <c r="Q750" s="12"/>
      <c r="S750"/>
    </row>
    <row r="751" spans="1:19" x14ac:dyDescent="0.25">
      <c r="A751" s="12" t="str">
        <f t="shared" si="65"/>
        <v/>
      </c>
      <c r="B751" s="16"/>
      <c r="C751" s="17"/>
      <c r="D751" s="18"/>
      <c r="E751" s="29"/>
      <c r="F751" s="39"/>
      <c r="G751" s="40"/>
      <c r="H751" s="41"/>
      <c r="I751" s="42"/>
      <c r="J751" s="82">
        <f t="shared" si="66"/>
        <v>0</v>
      </c>
      <c r="K751" s="43"/>
      <c r="L751" s="83" t="str">
        <f t="shared" si="67"/>
        <v/>
      </c>
      <c r="M751" s="53"/>
      <c r="Q751" s="12"/>
      <c r="S751"/>
    </row>
    <row r="752" spans="1:19" x14ac:dyDescent="0.25">
      <c r="A752" s="12" t="str">
        <f t="shared" si="65"/>
        <v/>
      </c>
      <c r="B752" s="16"/>
      <c r="C752" s="17"/>
      <c r="D752" s="18"/>
      <c r="E752" s="29"/>
      <c r="F752" s="27"/>
      <c r="G752" s="28"/>
      <c r="H752" s="19"/>
      <c r="I752" s="23"/>
      <c r="J752" s="82">
        <f t="shared" si="66"/>
        <v>0</v>
      </c>
      <c r="K752" s="30"/>
      <c r="L752" s="83" t="str">
        <f t="shared" si="67"/>
        <v/>
      </c>
      <c r="M752" s="23"/>
      <c r="Q752" s="12"/>
      <c r="S752"/>
    </row>
    <row r="753" spans="1:19" x14ac:dyDescent="0.25">
      <c r="A753" s="12" t="str">
        <f t="shared" si="65"/>
        <v/>
      </c>
      <c r="B753" s="16"/>
      <c r="C753" s="17"/>
      <c r="D753" s="18"/>
      <c r="E753" s="29"/>
      <c r="F753" s="39"/>
      <c r="G753" s="40"/>
      <c r="H753" s="41"/>
      <c r="I753" s="42"/>
      <c r="J753" s="82">
        <f t="shared" si="66"/>
        <v>0</v>
      </c>
      <c r="K753" s="43"/>
      <c r="L753" s="83" t="str">
        <f t="shared" si="67"/>
        <v/>
      </c>
      <c r="M753" s="53"/>
      <c r="Q753" s="12"/>
      <c r="S753"/>
    </row>
    <row r="754" spans="1:19" x14ac:dyDescent="0.25">
      <c r="A754" s="12" t="str">
        <f t="shared" si="65"/>
        <v/>
      </c>
      <c r="B754" s="16"/>
      <c r="C754" s="17"/>
      <c r="D754" s="18"/>
      <c r="E754" s="29"/>
      <c r="F754" s="27"/>
      <c r="G754" s="28"/>
      <c r="H754" s="19"/>
      <c r="I754" s="23"/>
      <c r="J754" s="82">
        <f t="shared" si="66"/>
        <v>0</v>
      </c>
      <c r="K754" s="30"/>
      <c r="L754" s="83" t="str">
        <f t="shared" si="67"/>
        <v/>
      </c>
      <c r="M754" s="23"/>
      <c r="Q754" s="12"/>
      <c r="S754"/>
    </row>
    <row r="755" spans="1:19" x14ac:dyDescent="0.25">
      <c r="A755" s="12" t="str">
        <f t="shared" si="65"/>
        <v/>
      </c>
      <c r="B755" s="16"/>
      <c r="C755" s="17"/>
      <c r="D755" s="18"/>
      <c r="E755" s="29"/>
      <c r="F755" s="39"/>
      <c r="G755" s="40"/>
      <c r="H755" s="41"/>
      <c r="I755" s="42"/>
      <c r="J755" s="82">
        <f t="shared" si="66"/>
        <v>0</v>
      </c>
      <c r="K755" s="43"/>
      <c r="L755" s="83" t="str">
        <f t="shared" si="67"/>
        <v/>
      </c>
      <c r="M755" s="53"/>
      <c r="Q755" s="12"/>
      <c r="S755"/>
    </row>
    <row r="756" spans="1:19" x14ac:dyDescent="0.25">
      <c r="A756" s="12" t="str">
        <f t="shared" ref="A756:A819" si="68">IFERROR(DATE(B756,C756,D756),"")</f>
        <v/>
      </c>
      <c r="B756" s="16"/>
      <c r="C756" s="17"/>
      <c r="D756" s="18"/>
      <c r="E756" s="29"/>
      <c r="F756" s="27"/>
      <c r="G756" s="28"/>
      <c r="H756" s="19"/>
      <c r="I756" s="23"/>
      <c r="J756" s="82">
        <f t="shared" ref="J756:J819" si="69">IF(E756="entrada",H756*I756,H756*I756*-1)</f>
        <v>0</v>
      </c>
      <c r="K756" s="30"/>
      <c r="L756" s="83" t="str">
        <f t="shared" ref="L756:L819" si="70">IF(J756=0,"",SUM(L755,J756))</f>
        <v/>
      </c>
      <c r="M756" s="23"/>
      <c r="Q756" s="12"/>
      <c r="S756"/>
    </row>
    <row r="757" spans="1:19" x14ac:dyDescent="0.25">
      <c r="A757" s="12" t="str">
        <f t="shared" si="68"/>
        <v/>
      </c>
      <c r="B757" s="16"/>
      <c r="C757" s="17"/>
      <c r="D757" s="18"/>
      <c r="E757" s="29"/>
      <c r="F757" s="39"/>
      <c r="G757" s="40"/>
      <c r="H757" s="41"/>
      <c r="I757" s="42"/>
      <c r="J757" s="82">
        <f t="shared" si="69"/>
        <v>0</v>
      </c>
      <c r="K757" s="43"/>
      <c r="L757" s="83" t="str">
        <f t="shared" si="70"/>
        <v/>
      </c>
      <c r="M757" s="53"/>
      <c r="Q757" s="12"/>
      <c r="S757"/>
    </row>
    <row r="758" spans="1:19" x14ac:dyDescent="0.25">
      <c r="A758" s="12" t="str">
        <f t="shared" si="68"/>
        <v/>
      </c>
      <c r="B758" s="16"/>
      <c r="C758" s="17"/>
      <c r="D758" s="18"/>
      <c r="E758" s="29"/>
      <c r="F758" s="27"/>
      <c r="G758" s="28"/>
      <c r="H758" s="19"/>
      <c r="I758" s="23"/>
      <c r="J758" s="82">
        <f t="shared" si="69"/>
        <v>0</v>
      </c>
      <c r="K758" s="30"/>
      <c r="L758" s="83" t="str">
        <f t="shared" si="70"/>
        <v/>
      </c>
      <c r="M758" s="23"/>
      <c r="Q758" s="12"/>
      <c r="S758"/>
    </row>
    <row r="759" spans="1:19" x14ac:dyDescent="0.25">
      <c r="A759" s="12" t="str">
        <f t="shared" si="68"/>
        <v/>
      </c>
      <c r="B759" s="16"/>
      <c r="C759" s="17"/>
      <c r="D759" s="18"/>
      <c r="E759" s="29"/>
      <c r="F759" s="39"/>
      <c r="G759" s="40"/>
      <c r="H759" s="41"/>
      <c r="I759" s="42"/>
      <c r="J759" s="82">
        <f t="shared" si="69"/>
        <v>0</v>
      </c>
      <c r="K759" s="43"/>
      <c r="L759" s="83" t="str">
        <f t="shared" si="70"/>
        <v/>
      </c>
      <c r="M759" s="53"/>
      <c r="Q759" s="12"/>
      <c r="S759"/>
    </row>
    <row r="760" spans="1:19" x14ac:dyDescent="0.25">
      <c r="A760" s="12" t="str">
        <f t="shared" si="68"/>
        <v/>
      </c>
      <c r="B760" s="16"/>
      <c r="C760" s="17"/>
      <c r="D760" s="18"/>
      <c r="E760" s="29"/>
      <c r="F760" s="27"/>
      <c r="G760" s="28"/>
      <c r="H760" s="19"/>
      <c r="I760" s="23"/>
      <c r="J760" s="82">
        <f t="shared" si="69"/>
        <v>0</v>
      </c>
      <c r="K760" s="30"/>
      <c r="L760" s="83" t="str">
        <f t="shared" si="70"/>
        <v/>
      </c>
      <c r="M760" s="23"/>
      <c r="Q760" s="12"/>
      <c r="S760"/>
    </row>
    <row r="761" spans="1:19" x14ac:dyDescent="0.25">
      <c r="A761" s="12" t="str">
        <f t="shared" si="68"/>
        <v/>
      </c>
      <c r="B761" s="16"/>
      <c r="C761" s="17"/>
      <c r="D761" s="18"/>
      <c r="E761" s="29"/>
      <c r="F761" s="39"/>
      <c r="G761" s="40"/>
      <c r="H761" s="41"/>
      <c r="I761" s="42"/>
      <c r="J761" s="82">
        <f t="shared" si="69"/>
        <v>0</v>
      </c>
      <c r="K761" s="43"/>
      <c r="L761" s="83" t="str">
        <f t="shared" si="70"/>
        <v/>
      </c>
      <c r="M761" s="53"/>
      <c r="Q761" s="12"/>
      <c r="S761"/>
    </row>
    <row r="762" spans="1:19" x14ac:dyDescent="0.25">
      <c r="A762" s="12" t="str">
        <f t="shared" si="68"/>
        <v/>
      </c>
      <c r="B762" s="16"/>
      <c r="C762" s="17"/>
      <c r="D762" s="18"/>
      <c r="E762" s="29"/>
      <c r="F762" s="27"/>
      <c r="G762" s="28"/>
      <c r="H762" s="19"/>
      <c r="I762" s="23"/>
      <c r="J762" s="82">
        <f t="shared" si="69"/>
        <v>0</v>
      </c>
      <c r="K762" s="30"/>
      <c r="L762" s="83" t="str">
        <f t="shared" si="70"/>
        <v/>
      </c>
      <c r="M762" s="23"/>
      <c r="Q762" s="12"/>
      <c r="S762"/>
    </row>
    <row r="763" spans="1:19" x14ac:dyDescent="0.25">
      <c r="A763" s="12" t="str">
        <f t="shared" si="68"/>
        <v/>
      </c>
      <c r="B763" s="16"/>
      <c r="C763" s="17"/>
      <c r="D763" s="18"/>
      <c r="E763" s="29"/>
      <c r="F763" s="39"/>
      <c r="G763" s="40"/>
      <c r="H763" s="41"/>
      <c r="I763" s="42"/>
      <c r="J763" s="82">
        <f t="shared" si="69"/>
        <v>0</v>
      </c>
      <c r="K763" s="43"/>
      <c r="L763" s="83" t="str">
        <f t="shared" si="70"/>
        <v/>
      </c>
      <c r="M763" s="53"/>
      <c r="Q763" s="12"/>
      <c r="S763"/>
    </row>
    <row r="764" spans="1:19" x14ac:dyDescent="0.25">
      <c r="A764" s="12" t="str">
        <f t="shared" si="68"/>
        <v/>
      </c>
      <c r="B764" s="16"/>
      <c r="C764" s="17"/>
      <c r="D764" s="18"/>
      <c r="E764" s="29"/>
      <c r="F764" s="27"/>
      <c r="G764" s="28"/>
      <c r="H764" s="19"/>
      <c r="I764" s="23"/>
      <c r="J764" s="82">
        <f t="shared" si="69"/>
        <v>0</v>
      </c>
      <c r="K764" s="30"/>
      <c r="L764" s="83" t="str">
        <f t="shared" si="70"/>
        <v/>
      </c>
      <c r="M764" s="23"/>
      <c r="Q764" s="12"/>
      <c r="S764"/>
    </row>
    <row r="765" spans="1:19" x14ac:dyDescent="0.25">
      <c r="A765" s="12" t="str">
        <f t="shared" si="68"/>
        <v/>
      </c>
      <c r="B765" s="16"/>
      <c r="C765" s="17"/>
      <c r="D765" s="18"/>
      <c r="E765" s="29"/>
      <c r="F765" s="39"/>
      <c r="G765" s="40"/>
      <c r="H765" s="41"/>
      <c r="I765" s="42"/>
      <c r="J765" s="82">
        <f t="shared" si="69"/>
        <v>0</v>
      </c>
      <c r="K765" s="43"/>
      <c r="L765" s="83" t="str">
        <f t="shared" si="70"/>
        <v/>
      </c>
      <c r="M765" s="53"/>
      <c r="Q765" s="12"/>
      <c r="S765"/>
    </row>
    <row r="766" spans="1:19" x14ac:dyDescent="0.25">
      <c r="A766" s="12" t="str">
        <f t="shared" si="68"/>
        <v/>
      </c>
      <c r="B766" s="16"/>
      <c r="C766" s="17"/>
      <c r="D766" s="18"/>
      <c r="E766" s="29"/>
      <c r="F766" s="27"/>
      <c r="G766" s="28"/>
      <c r="H766" s="19"/>
      <c r="I766" s="23"/>
      <c r="J766" s="82">
        <f t="shared" si="69"/>
        <v>0</v>
      </c>
      <c r="K766" s="30"/>
      <c r="L766" s="83" t="str">
        <f t="shared" si="70"/>
        <v/>
      </c>
      <c r="M766" s="23"/>
      <c r="Q766" s="12"/>
      <c r="S766"/>
    </row>
    <row r="767" spans="1:19" x14ac:dyDescent="0.25">
      <c r="A767" s="12" t="str">
        <f t="shared" si="68"/>
        <v/>
      </c>
      <c r="B767" s="16"/>
      <c r="C767" s="17"/>
      <c r="D767" s="18"/>
      <c r="E767" s="29"/>
      <c r="F767" s="39"/>
      <c r="G767" s="40"/>
      <c r="H767" s="41"/>
      <c r="I767" s="42"/>
      <c r="J767" s="82">
        <f t="shared" si="69"/>
        <v>0</v>
      </c>
      <c r="K767" s="43"/>
      <c r="L767" s="83" t="str">
        <f t="shared" si="70"/>
        <v/>
      </c>
      <c r="M767" s="53"/>
      <c r="Q767" s="12"/>
      <c r="S767"/>
    </row>
    <row r="768" spans="1:19" x14ac:dyDescent="0.25">
      <c r="A768" s="12" t="str">
        <f t="shared" si="68"/>
        <v/>
      </c>
      <c r="B768" s="16"/>
      <c r="C768" s="17"/>
      <c r="D768" s="18"/>
      <c r="E768" s="29"/>
      <c r="F768" s="27"/>
      <c r="G768" s="28"/>
      <c r="H768" s="19"/>
      <c r="I768" s="23"/>
      <c r="J768" s="82">
        <f t="shared" si="69"/>
        <v>0</v>
      </c>
      <c r="K768" s="30"/>
      <c r="L768" s="83" t="str">
        <f t="shared" si="70"/>
        <v/>
      </c>
      <c r="M768" s="23"/>
      <c r="Q768" s="12"/>
      <c r="S768"/>
    </row>
    <row r="769" spans="1:19" x14ac:dyDescent="0.25">
      <c r="A769" s="12" t="str">
        <f t="shared" si="68"/>
        <v/>
      </c>
      <c r="B769" s="16"/>
      <c r="C769" s="17"/>
      <c r="D769" s="18"/>
      <c r="E769" s="29"/>
      <c r="F769" s="39"/>
      <c r="G769" s="40"/>
      <c r="H769" s="41"/>
      <c r="I769" s="42"/>
      <c r="J769" s="82">
        <f t="shared" si="69"/>
        <v>0</v>
      </c>
      <c r="K769" s="43"/>
      <c r="L769" s="83" t="str">
        <f t="shared" si="70"/>
        <v/>
      </c>
      <c r="M769" s="53"/>
      <c r="Q769" s="12"/>
      <c r="S769"/>
    </row>
    <row r="770" spans="1:19" x14ac:dyDescent="0.25">
      <c r="A770" s="12" t="str">
        <f t="shared" si="68"/>
        <v/>
      </c>
      <c r="B770" s="16"/>
      <c r="C770" s="17"/>
      <c r="D770" s="18"/>
      <c r="E770" s="29"/>
      <c r="F770" s="27"/>
      <c r="G770" s="28"/>
      <c r="H770" s="19"/>
      <c r="I770" s="23"/>
      <c r="J770" s="82">
        <f t="shared" si="69"/>
        <v>0</v>
      </c>
      <c r="K770" s="30"/>
      <c r="L770" s="83" t="str">
        <f t="shared" si="70"/>
        <v/>
      </c>
      <c r="M770" s="23"/>
      <c r="Q770" s="12"/>
      <c r="S770"/>
    </row>
    <row r="771" spans="1:19" x14ac:dyDescent="0.25">
      <c r="A771" s="12" t="str">
        <f t="shared" si="68"/>
        <v/>
      </c>
      <c r="B771" s="16"/>
      <c r="C771" s="17"/>
      <c r="D771" s="18"/>
      <c r="E771" s="29"/>
      <c r="F771" s="39"/>
      <c r="G771" s="40"/>
      <c r="H771" s="41"/>
      <c r="I771" s="42"/>
      <c r="J771" s="82">
        <f t="shared" si="69"/>
        <v>0</v>
      </c>
      <c r="K771" s="43"/>
      <c r="L771" s="83" t="str">
        <f t="shared" si="70"/>
        <v/>
      </c>
      <c r="M771" s="53"/>
      <c r="Q771" s="12"/>
      <c r="S771"/>
    </row>
    <row r="772" spans="1:19" x14ac:dyDescent="0.25">
      <c r="A772" s="12" t="str">
        <f t="shared" si="68"/>
        <v/>
      </c>
      <c r="B772" s="16"/>
      <c r="C772" s="17"/>
      <c r="D772" s="18"/>
      <c r="E772" s="29"/>
      <c r="F772" s="27"/>
      <c r="G772" s="28"/>
      <c r="H772" s="19"/>
      <c r="I772" s="23"/>
      <c r="J772" s="82">
        <f t="shared" si="69"/>
        <v>0</v>
      </c>
      <c r="K772" s="30"/>
      <c r="L772" s="83" t="str">
        <f t="shared" si="70"/>
        <v/>
      </c>
      <c r="M772" s="23"/>
      <c r="Q772" s="12"/>
      <c r="S772"/>
    </row>
    <row r="773" spans="1:19" x14ac:dyDescent="0.25">
      <c r="A773" s="12" t="str">
        <f t="shared" si="68"/>
        <v/>
      </c>
      <c r="B773" s="16"/>
      <c r="C773" s="17"/>
      <c r="D773" s="18"/>
      <c r="E773" s="29"/>
      <c r="F773" s="39"/>
      <c r="G773" s="40"/>
      <c r="H773" s="41"/>
      <c r="I773" s="42"/>
      <c r="J773" s="82">
        <f t="shared" si="69"/>
        <v>0</v>
      </c>
      <c r="K773" s="43"/>
      <c r="L773" s="83" t="str">
        <f t="shared" si="70"/>
        <v/>
      </c>
      <c r="M773" s="53"/>
      <c r="Q773" s="12"/>
      <c r="S773"/>
    </row>
    <row r="774" spans="1:19" x14ac:dyDescent="0.25">
      <c r="A774" s="12" t="str">
        <f t="shared" si="68"/>
        <v/>
      </c>
      <c r="B774" s="16"/>
      <c r="C774" s="17"/>
      <c r="D774" s="18"/>
      <c r="E774" s="29"/>
      <c r="F774" s="27"/>
      <c r="G774" s="28"/>
      <c r="H774" s="19"/>
      <c r="I774" s="23"/>
      <c r="J774" s="82">
        <f t="shared" si="69"/>
        <v>0</v>
      </c>
      <c r="K774" s="30"/>
      <c r="L774" s="83" t="str">
        <f t="shared" si="70"/>
        <v/>
      </c>
      <c r="M774" s="23"/>
      <c r="Q774" s="12"/>
      <c r="S774"/>
    </row>
    <row r="775" spans="1:19" x14ac:dyDescent="0.25">
      <c r="A775" s="12" t="str">
        <f t="shared" si="68"/>
        <v/>
      </c>
      <c r="B775" s="16"/>
      <c r="C775" s="17"/>
      <c r="D775" s="18"/>
      <c r="E775" s="29"/>
      <c r="F775" s="39"/>
      <c r="G775" s="40"/>
      <c r="H775" s="41"/>
      <c r="I775" s="42"/>
      <c r="J775" s="82">
        <f t="shared" si="69"/>
        <v>0</v>
      </c>
      <c r="K775" s="43"/>
      <c r="L775" s="83" t="str">
        <f t="shared" si="70"/>
        <v/>
      </c>
      <c r="M775" s="53"/>
      <c r="Q775" s="12"/>
      <c r="S775"/>
    </row>
    <row r="776" spans="1:19" x14ac:dyDescent="0.25">
      <c r="A776" s="12" t="str">
        <f t="shared" si="68"/>
        <v/>
      </c>
      <c r="B776" s="16"/>
      <c r="C776" s="17"/>
      <c r="D776" s="18"/>
      <c r="E776" s="29"/>
      <c r="F776" s="27"/>
      <c r="G776" s="28"/>
      <c r="H776" s="19"/>
      <c r="I776" s="23"/>
      <c r="J776" s="82">
        <f t="shared" si="69"/>
        <v>0</v>
      </c>
      <c r="K776" s="30"/>
      <c r="L776" s="83" t="str">
        <f t="shared" si="70"/>
        <v/>
      </c>
      <c r="M776" s="23"/>
      <c r="Q776" s="12"/>
      <c r="S776"/>
    </row>
    <row r="777" spans="1:19" x14ac:dyDescent="0.25">
      <c r="A777" s="12" t="str">
        <f t="shared" si="68"/>
        <v/>
      </c>
      <c r="B777" s="16"/>
      <c r="C777" s="17"/>
      <c r="D777" s="18"/>
      <c r="E777" s="29"/>
      <c r="F777" s="39"/>
      <c r="G777" s="40"/>
      <c r="H777" s="41"/>
      <c r="I777" s="42"/>
      <c r="J777" s="82">
        <f t="shared" si="69"/>
        <v>0</v>
      </c>
      <c r="K777" s="43"/>
      <c r="L777" s="83" t="str">
        <f t="shared" si="70"/>
        <v/>
      </c>
      <c r="M777" s="53"/>
      <c r="Q777" s="12"/>
      <c r="S777"/>
    </row>
    <row r="778" spans="1:19" x14ac:dyDescent="0.25">
      <c r="A778" s="12" t="str">
        <f t="shared" si="68"/>
        <v/>
      </c>
      <c r="B778" s="16"/>
      <c r="C778" s="17"/>
      <c r="D778" s="18"/>
      <c r="E778" s="29"/>
      <c r="F778" s="27"/>
      <c r="G778" s="28"/>
      <c r="H778" s="19"/>
      <c r="I778" s="23"/>
      <c r="J778" s="82">
        <f t="shared" si="69"/>
        <v>0</v>
      </c>
      <c r="K778" s="30"/>
      <c r="L778" s="83" t="str">
        <f t="shared" si="70"/>
        <v/>
      </c>
      <c r="M778" s="23"/>
      <c r="Q778" s="12"/>
      <c r="S778"/>
    </row>
    <row r="779" spans="1:19" x14ac:dyDescent="0.25">
      <c r="A779" s="12" t="str">
        <f t="shared" si="68"/>
        <v/>
      </c>
      <c r="B779" s="16"/>
      <c r="C779" s="17"/>
      <c r="D779" s="18"/>
      <c r="E779" s="29"/>
      <c r="F779" s="39"/>
      <c r="G779" s="40"/>
      <c r="H779" s="41"/>
      <c r="I779" s="42"/>
      <c r="J779" s="82">
        <f t="shared" si="69"/>
        <v>0</v>
      </c>
      <c r="K779" s="43"/>
      <c r="L779" s="83" t="str">
        <f t="shared" si="70"/>
        <v/>
      </c>
      <c r="M779" s="53"/>
      <c r="Q779" s="12"/>
      <c r="S779"/>
    </row>
    <row r="780" spans="1:19" x14ac:dyDescent="0.25">
      <c r="A780" s="12" t="str">
        <f t="shared" si="68"/>
        <v/>
      </c>
      <c r="B780" s="16"/>
      <c r="C780" s="17"/>
      <c r="D780" s="18"/>
      <c r="E780" s="29"/>
      <c r="F780" s="27"/>
      <c r="G780" s="28"/>
      <c r="H780" s="19"/>
      <c r="I780" s="23"/>
      <c r="J780" s="82">
        <f t="shared" si="69"/>
        <v>0</v>
      </c>
      <c r="K780" s="30"/>
      <c r="L780" s="83" t="str">
        <f t="shared" si="70"/>
        <v/>
      </c>
      <c r="M780" s="23"/>
      <c r="Q780" s="12"/>
      <c r="S780"/>
    </row>
    <row r="781" spans="1:19" x14ac:dyDescent="0.25">
      <c r="A781" s="12" t="str">
        <f t="shared" si="68"/>
        <v/>
      </c>
      <c r="B781" s="16"/>
      <c r="C781" s="17"/>
      <c r="D781" s="18"/>
      <c r="E781" s="29"/>
      <c r="F781" s="39"/>
      <c r="G781" s="40"/>
      <c r="H781" s="41"/>
      <c r="I781" s="42"/>
      <c r="J781" s="82">
        <f t="shared" si="69"/>
        <v>0</v>
      </c>
      <c r="K781" s="43"/>
      <c r="L781" s="83" t="str">
        <f t="shared" si="70"/>
        <v/>
      </c>
      <c r="M781" s="53"/>
      <c r="Q781" s="12"/>
      <c r="S781"/>
    </row>
    <row r="782" spans="1:19" x14ac:dyDescent="0.25">
      <c r="A782" s="12" t="str">
        <f t="shared" si="68"/>
        <v/>
      </c>
      <c r="B782" s="16"/>
      <c r="C782" s="17"/>
      <c r="D782" s="18"/>
      <c r="E782" s="29"/>
      <c r="F782" s="27"/>
      <c r="G782" s="28"/>
      <c r="H782" s="19"/>
      <c r="I782" s="23"/>
      <c r="J782" s="82">
        <f t="shared" si="69"/>
        <v>0</v>
      </c>
      <c r="K782" s="30"/>
      <c r="L782" s="83" t="str">
        <f t="shared" si="70"/>
        <v/>
      </c>
      <c r="M782" s="23"/>
      <c r="Q782" s="12"/>
      <c r="S782"/>
    </row>
    <row r="783" spans="1:19" x14ac:dyDescent="0.25">
      <c r="A783" s="12" t="str">
        <f t="shared" si="68"/>
        <v/>
      </c>
      <c r="B783" s="16"/>
      <c r="C783" s="17"/>
      <c r="D783" s="18"/>
      <c r="E783" s="29"/>
      <c r="F783" s="39"/>
      <c r="G783" s="40"/>
      <c r="H783" s="41"/>
      <c r="I783" s="42"/>
      <c r="J783" s="82">
        <f t="shared" si="69"/>
        <v>0</v>
      </c>
      <c r="K783" s="43"/>
      <c r="L783" s="83" t="str">
        <f t="shared" si="70"/>
        <v/>
      </c>
      <c r="M783" s="53"/>
      <c r="Q783" s="12"/>
      <c r="S783"/>
    </row>
    <row r="784" spans="1:19" x14ac:dyDescent="0.25">
      <c r="A784" s="12" t="str">
        <f t="shared" si="68"/>
        <v/>
      </c>
      <c r="B784" s="16"/>
      <c r="C784" s="17"/>
      <c r="D784" s="18"/>
      <c r="E784" s="29"/>
      <c r="F784" s="27"/>
      <c r="G784" s="28"/>
      <c r="H784" s="19"/>
      <c r="I784" s="23"/>
      <c r="J784" s="82">
        <f t="shared" si="69"/>
        <v>0</v>
      </c>
      <c r="K784" s="30"/>
      <c r="L784" s="83" t="str">
        <f t="shared" si="70"/>
        <v/>
      </c>
      <c r="M784" s="23"/>
      <c r="Q784" s="12"/>
      <c r="S784"/>
    </row>
    <row r="785" spans="1:19" x14ac:dyDescent="0.25">
      <c r="A785" s="12" t="str">
        <f t="shared" si="68"/>
        <v/>
      </c>
      <c r="B785" s="16"/>
      <c r="C785" s="17"/>
      <c r="D785" s="18"/>
      <c r="E785" s="29"/>
      <c r="F785" s="39"/>
      <c r="G785" s="40"/>
      <c r="H785" s="41"/>
      <c r="I785" s="42"/>
      <c r="J785" s="82">
        <f t="shared" si="69"/>
        <v>0</v>
      </c>
      <c r="K785" s="43"/>
      <c r="L785" s="83" t="str">
        <f t="shared" si="70"/>
        <v/>
      </c>
      <c r="M785" s="53"/>
      <c r="Q785" s="12"/>
      <c r="S785"/>
    </row>
    <row r="786" spans="1:19" x14ac:dyDescent="0.25">
      <c r="A786" s="12" t="str">
        <f t="shared" si="68"/>
        <v/>
      </c>
      <c r="B786" s="16"/>
      <c r="C786" s="17"/>
      <c r="D786" s="18"/>
      <c r="E786" s="29"/>
      <c r="F786" s="27"/>
      <c r="G786" s="28"/>
      <c r="H786" s="19"/>
      <c r="I786" s="23"/>
      <c r="J786" s="82">
        <f t="shared" si="69"/>
        <v>0</v>
      </c>
      <c r="K786" s="30"/>
      <c r="L786" s="83" t="str">
        <f t="shared" si="70"/>
        <v/>
      </c>
      <c r="M786" s="23"/>
      <c r="Q786" s="12"/>
      <c r="S786"/>
    </row>
    <row r="787" spans="1:19" x14ac:dyDescent="0.25">
      <c r="A787" s="12" t="str">
        <f t="shared" si="68"/>
        <v/>
      </c>
      <c r="B787" s="16"/>
      <c r="C787" s="17"/>
      <c r="D787" s="18"/>
      <c r="E787" s="29"/>
      <c r="F787" s="39"/>
      <c r="G787" s="40"/>
      <c r="H787" s="41"/>
      <c r="I787" s="42"/>
      <c r="J787" s="82">
        <f t="shared" si="69"/>
        <v>0</v>
      </c>
      <c r="K787" s="43"/>
      <c r="L787" s="83" t="str">
        <f t="shared" si="70"/>
        <v/>
      </c>
      <c r="M787" s="53"/>
      <c r="Q787" s="12"/>
      <c r="S787"/>
    </row>
    <row r="788" spans="1:19" x14ac:dyDescent="0.25">
      <c r="A788" s="12" t="str">
        <f t="shared" si="68"/>
        <v/>
      </c>
      <c r="B788" s="16"/>
      <c r="C788" s="17"/>
      <c r="D788" s="18"/>
      <c r="E788" s="29"/>
      <c r="F788" s="27"/>
      <c r="G788" s="28"/>
      <c r="H788" s="19"/>
      <c r="I788" s="23"/>
      <c r="J788" s="82">
        <f t="shared" si="69"/>
        <v>0</v>
      </c>
      <c r="K788" s="30"/>
      <c r="L788" s="83" t="str">
        <f t="shared" si="70"/>
        <v/>
      </c>
      <c r="M788" s="23"/>
      <c r="Q788" s="12"/>
      <c r="S788"/>
    </row>
    <row r="789" spans="1:19" x14ac:dyDescent="0.25">
      <c r="A789" s="12" t="str">
        <f t="shared" si="68"/>
        <v/>
      </c>
      <c r="B789" s="16"/>
      <c r="C789" s="17"/>
      <c r="D789" s="18"/>
      <c r="E789" s="29"/>
      <c r="F789" s="39"/>
      <c r="G789" s="40"/>
      <c r="H789" s="41"/>
      <c r="I789" s="42"/>
      <c r="J789" s="82">
        <f t="shared" si="69"/>
        <v>0</v>
      </c>
      <c r="K789" s="43"/>
      <c r="L789" s="83" t="str">
        <f t="shared" si="70"/>
        <v/>
      </c>
      <c r="M789" s="53"/>
      <c r="Q789" s="12"/>
      <c r="S789"/>
    </row>
    <row r="790" spans="1:19" x14ac:dyDescent="0.25">
      <c r="A790" s="12" t="str">
        <f t="shared" si="68"/>
        <v/>
      </c>
      <c r="B790" s="16"/>
      <c r="C790" s="17"/>
      <c r="D790" s="18"/>
      <c r="E790" s="29"/>
      <c r="F790" s="27"/>
      <c r="G790" s="28"/>
      <c r="H790" s="19"/>
      <c r="I790" s="23"/>
      <c r="J790" s="82">
        <f t="shared" si="69"/>
        <v>0</v>
      </c>
      <c r="K790" s="30"/>
      <c r="L790" s="83" t="str">
        <f t="shared" si="70"/>
        <v/>
      </c>
      <c r="M790" s="23"/>
      <c r="Q790" s="12"/>
      <c r="S790"/>
    </row>
    <row r="791" spans="1:19" x14ac:dyDescent="0.25">
      <c r="A791" s="12" t="str">
        <f t="shared" si="68"/>
        <v/>
      </c>
      <c r="B791" s="16"/>
      <c r="C791" s="17"/>
      <c r="D791" s="18"/>
      <c r="E791" s="29"/>
      <c r="F791" s="39"/>
      <c r="G791" s="40"/>
      <c r="H791" s="41"/>
      <c r="I791" s="42"/>
      <c r="J791" s="82">
        <f t="shared" si="69"/>
        <v>0</v>
      </c>
      <c r="K791" s="43"/>
      <c r="L791" s="83" t="str">
        <f t="shared" si="70"/>
        <v/>
      </c>
      <c r="M791" s="53"/>
      <c r="Q791" s="12"/>
      <c r="S791"/>
    </row>
    <row r="792" spans="1:19" x14ac:dyDescent="0.25">
      <c r="A792" s="12" t="str">
        <f t="shared" si="68"/>
        <v/>
      </c>
      <c r="B792" s="16"/>
      <c r="C792" s="17"/>
      <c r="D792" s="18"/>
      <c r="E792" s="29"/>
      <c r="F792" s="27"/>
      <c r="G792" s="28"/>
      <c r="H792" s="19"/>
      <c r="I792" s="23"/>
      <c r="J792" s="82">
        <f t="shared" si="69"/>
        <v>0</v>
      </c>
      <c r="K792" s="30"/>
      <c r="L792" s="83" t="str">
        <f t="shared" si="70"/>
        <v/>
      </c>
      <c r="M792" s="23"/>
      <c r="Q792" s="12"/>
      <c r="S792"/>
    </row>
    <row r="793" spans="1:19" x14ac:dyDescent="0.25">
      <c r="A793" s="12" t="str">
        <f t="shared" si="68"/>
        <v/>
      </c>
      <c r="B793" s="16"/>
      <c r="C793" s="17"/>
      <c r="D793" s="18"/>
      <c r="E793" s="29"/>
      <c r="F793" s="39"/>
      <c r="G793" s="40"/>
      <c r="H793" s="41"/>
      <c r="I793" s="42"/>
      <c r="J793" s="82">
        <f t="shared" si="69"/>
        <v>0</v>
      </c>
      <c r="K793" s="43"/>
      <c r="L793" s="83" t="str">
        <f t="shared" si="70"/>
        <v/>
      </c>
      <c r="M793" s="53"/>
      <c r="Q793" s="12"/>
      <c r="S793"/>
    </row>
    <row r="794" spans="1:19" x14ac:dyDescent="0.25">
      <c r="A794" s="12" t="str">
        <f t="shared" si="68"/>
        <v/>
      </c>
      <c r="B794" s="16"/>
      <c r="C794" s="17"/>
      <c r="D794" s="18"/>
      <c r="E794" s="29"/>
      <c r="F794" s="27"/>
      <c r="G794" s="28"/>
      <c r="H794" s="19"/>
      <c r="I794" s="23"/>
      <c r="J794" s="82">
        <f t="shared" si="69"/>
        <v>0</v>
      </c>
      <c r="K794" s="30"/>
      <c r="L794" s="83" t="str">
        <f t="shared" si="70"/>
        <v/>
      </c>
      <c r="M794" s="23"/>
      <c r="Q794" s="12"/>
      <c r="S794"/>
    </row>
    <row r="795" spans="1:19" x14ac:dyDescent="0.25">
      <c r="A795" s="12" t="str">
        <f t="shared" si="68"/>
        <v/>
      </c>
      <c r="B795" s="16"/>
      <c r="C795" s="17"/>
      <c r="D795" s="18"/>
      <c r="E795" s="29"/>
      <c r="F795" s="39"/>
      <c r="G795" s="40"/>
      <c r="H795" s="41"/>
      <c r="I795" s="42"/>
      <c r="J795" s="82">
        <f t="shared" si="69"/>
        <v>0</v>
      </c>
      <c r="K795" s="43"/>
      <c r="L795" s="83" t="str">
        <f t="shared" si="70"/>
        <v/>
      </c>
      <c r="M795" s="53"/>
      <c r="Q795" s="12"/>
      <c r="S795"/>
    </row>
    <row r="796" spans="1:19" x14ac:dyDescent="0.25">
      <c r="A796" s="12" t="str">
        <f t="shared" si="68"/>
        <v/>
      </c>
      <c r="B796" s="16"/>
      <c r="C796" s="17"/>
      <c r="D796" s="18"/>
      <c r="E796" s="29"/>
      <c r="F796" s="27"/>
      <c r="G796" s="28"/>
      <c r="H796" s="19"/>
      <c r="I796" s="23"/>
      <c r="J796" s="82">
        <f t="shared" si="69"/>
        <v>0</v>
      </c>
      <c r="K796" s="30"/>
      <c r="L796" s="83" t="str">
        <f t="shared" si="70"/>
        <v/>
      </c>
      <c r="M796" s="23"/>
      <c r="Q796" s="12"/>
      <c r="S796"/>
    </row>
    <row r="797" spans="1:19" x14ac:dyDescent="0.25">
      <c r="A797" s="12" t="str">
        <f t="shared" si="68"/>
        <v/>
      </c>
      <c r="B797" s="16"/>
      <c r="C797" s="17"/>
      <c r="D797" s="18"/>
      <c r="E797" s="29"/>
      <c r="F797" s="39"/>
      <c r="G797" s="40"/>
      <c r="H797" s="41"/>
      <c r="I797" s="42"/>
      <c r="J797" s="82">
        <f t="shared" si="69"/>
        <v>0</v>
      </c>
      <c r="K797" s="43"/>
      <c r="L797" s="83" t="str">
        <f t="shared" si="70"/>
        <v/>
      </c>
      <c r="M797" s="53"/>
      <c r="Q797" s="12"/>
      <c r="S797"/>
    </row>
    <row r="798" spans="1:19" x14ac:dyDescent="0.25">
      <c r="A798" s="12" t="str">
        <f t="shared" si="68"/>
        <v/>
      </c>
      <c r="B798" s="16"/>
      <c r="C798" s="17"/>
      <c r="D798" s="18"/>
      <c r="E798" s="29"/>
      <c r="F798" s="27"/>
      <c r="G798" s="28"/>
      <c r="H798" s="19"/>
      <c r="I798" s="23"/>
      <c r="J798" s="82">
        <f t="shared" si="69"/>
        <v>0</v>
      </c>
      <c r="K798" s="30"/>
      <c r="L798" s="83" t="str">
        <f t="shared" si="70"/>
        <v/>
      </c>
      <c r="M798" s="23"/>
      <c r="Q798" s="12"/>
      <c r="S798"/>
    </row>
    <row r="799" spans="1:19" x14ac:dyDescent="0.25">
      <c r="A799" s="12" t="str">
        <f t="shared" si="68"/>
        <v/>
      </c>
      <c r="B799" s="16"/>
      <c r="C799" s="17"/>
      <c r="D799" s="18"/>
      <c r="E799" s="29"/>
      <c r="F799" s="39"/>
      <c r="G799" s="40"/>
      <c r="H799" s="41"/>
      <c r="I799" s="42"/>
      <c r="J799" s="82">
        <f t="shared" si="69"/>
        <v>0</v>
      </c>
      <c r="K799" s="43"/>
      <c r="L799" s="83" t="str">
        <f t="shared" si="70"/>
        <v/>
      </c>
      <c r="M799" s="53"/>
      <c r="Q799" s="12"/>
      <c r="S799"/>
    </row>
    <row r="800" spans="1:19" x14ac:dyDescent="0.25">
      <c r="A800" s="12" t="str">
        <f t="shared" si="68"/>
        <v/>
      </c>
      <c r="B800" s="16"/>
      <c r="C800" s="17"/>
      <c r="D800" s="18"/>
      <c r="E800" s="29"/>
      <c r="F800" s="27"/>
      <c r="G800" s="28"/>
      <c r="H800" s="19"/>
      <c r="I800" s="23"/>
      <c r="J800" s="82">
        <f t="shared" si="69"/>
        <v>0</v>
      </c>
      <c r="K800" s="30"/>
      <c r="L800" s="83" t="str">
        <f t="shared" si="70"/>
        <v/>
      </c>
      <c r="M800" s="23"/>
      <c r="Q800" s="12"/>
      <c r="S800"/>
    </row>
    <row r="801" spans="1:19" x14ac:dyDescent="0.25">
      <c r="A801" s="12" t="str">
        <f t="shared" si="68"/>
        <v/>
      </c>
      <c r="B801" s="16"/>
      <c r="C801" s="17"/>
      <c r="D801" s="18"/>
      <c r="E801" s="29"/>
      <c r="F801" s="39"/>
      <c r="G801" s="40"/>
      <c r="H801" s="41"/>
      <c r="I801" s="42"/>
      <c r="J801" s="82">
        <f t="shared" si="69"/>
        <v>0</v>
      </c>
      <c r="K801" s="43"/>
      <c r="L801" s="83" t="str">
        <f t="shared" si="70"/>
        <v/>
      </c>
      <c r="M801" s="53"/>
      <c r="Q801" s="12"/>
      <c r="S801"/>
    </row>
    <row r="802" spans="1:19" x14ac:dyDescent="0.25">
      <c r="A802" s="12" t="str">
        <f t="shared" si="68"/>
        <v/>
      </c>
      <c r="B802" s="16"/>
      <c r="C802" s="17"/>
      <c r="D802" s="18"/>
      <c r="E802" s="29"/>
      <c r="F802" s="27"/>
      <c r="G802" s="28"/>
      <c r="H802" s="19"/>
      <c r="I802" s="23"/>
      <c r="J802" s="82">
        <f t="shared" si="69"/>
        <v>0</v>
      </c>
      <c r="K802" s="30"/>
      <c r="L802" s="83" t="str">
        <f t="shared" si="70"/>
        <v/>
      </c>
      <c r="M802" s="23"/>
      <c r="Q802" s="12"/>
      <c r="S802"/>
    </row>
    <row r="803" spans="1:19" x14ac:dyDescent="0.25">
      <c r="A803" s="12" t="str">
        <f t="shared" si="68"/>
        <v/>
      </c>
      <c r="B803" s="16"/>
      <c r="C803" s="17"/>
      <c r="D803" s="18"/>
      <c r="E803" s="29"/>
      <c r="F803" s="39"/>
      <c r="G803" s="40"/>
      <c r="H803" s="41"/>
      <c r="I803" s="42"/>
      <c r="J803" s="82">
        <f t="shared" si="69"/>
        <v>0</v>
      </c>
      <c r="K803" s="43"/>
      <c r="L803" s="83" t="str">
        <f t="shared" si="70"/>
        <v/>
      </c>
      <c r="M803" s="53"/>
      <c r="Q803" s="12"/>
      <c r="S803"/>
    </row>
    <row r="804" spans="1:19" x14ac:dyDescent="0.25">
      <c r="A804" s="12" t="str">
        <f t="shared" si="68"/>
        <v/>
      </c>
      <c r="B804" s="16"/>
      <c r="C804" s="17"/>
      <c r="D804" s="18"/>
      <c r="E804" s="29"/>
      <c r="F804" s="27"/>
      <c r="G804" s="28"/>
      <c r="H804" s="19"/>
      <c r="I804" s="23"/>
      <c r="J804" s="82">
        <f t="shared" si="69"/>
        <v>0</v>
      </c>
      <c r="K804" s="30"/>
      <c r="L804" s="83" t="str">
        <f t="shared" si="70"/>
        <v/>
      </c>
      <c r="M804" s="23"/>
      <c r="Q804" s="12"/>
      <c r="S804"/>
    </row>
    <row r="805" spans="1:19" x14ac:dyDescent="0.25">
      <c r="A805" s="12" t="str">
        <f t="shared" si="68"/>
        <v/>
      </c>
      <c r="B805" s="16"/>
      <c r="C805" s="17"/>
      <c r="D805" s="18"/>
      <c r="E805" s="29"/>
      <c r="F805" s="39"/>
      <c r="G805" s="40"/>
      <c r="H805" s="41"/>
      <c r="I805" s="42"/>
      <c r="J805" s="82">
        <f t="shared" si="69"/>
        <v>0</v>
      </c>
      <c r="K805" s="43"/>
      <c r="L805" s="83" t="str">
        <f t="shared" si="70"/>
        <v/>
      </c>
      <c r="M805" s="53"/>
      <c r="Q805" s="12"/>
      <c r="S805"/>
    </row>
    <row r="806" spans="1:19" x14ac:dyDescent="0.25">
      <c r="A806" s="12" t="str">
        <f t="shared" si="68"/>
        <v/>
      </c>
      <c r="B806" s="16"/>
      <c r="C806" s="17"/>
      <c r="D806" s="18"/>
      <c r="E806" s="29"/>
      <c r="F806" s="27"/>
      <c r="G806" s="28"/>
      <c r="H806" s="19"/>
      <c r="I806" s="23"/>
      <c r="J806" s="82">
        <f t="shared" si="69"/>
        <v>0</v>
      </c>
      <c r="K806" s="30"/>
      <c r="L806" s="83" t="str">
        <f t="shared" si="70"/>
        <v/>
      </c>
      <c r="M806" s="23"/>
      <c r="Q806" s="12"/>
      <c r="S806"/>
    </row>
    <row r="807" spans="1:19" x14ac:dyDescent="0.25">
      <c r="A807" s="12" t="str">
        <f t="shared" si="68"/>
        <v/>
      </c>
      <c r="B807" s="16"/>
      <c r="C807" s="17"/>
      <c r="D807" s="18"/>
      <c r="E807" s="29"/>
      <c r="F807" s="39"/>
      <c r="G807" s="40"/>
      <c r="H807" s="41"/>
      <c r="I807" s="42"/>
      <c r="J807" s="82">
        <f t="shared" si="69"/>
        <v>0</v>
      </c>
      <c r="K807" s="43"/>
      <c r="L807" s="83" t="str">
        <f t="shared" si="70"/>
        <v/>
      </c>
      <c r="M807" s="53"/>
      <c r="Q807" s="12"/>
      <c r="S807"/>
    </row>
    <row r="808" spans="1:19" x14ac:dyDescent="0.25">
      <c r="A808" s="12" t="str">
        <f t="shared" si="68"/>
        <v/>
      </c>
      <c r="B808" s="16"/>
      <c r="C808" s="17"/>
      <c r="D808" s="18"/>
      <c r="E808" s="29"/>
      <c r="F808" s="27"/>
      <c r="G808" s="28"/>
      <c r="H808" s="19"/>
      <c r="I808" s="23"/>
      <c r="J808" s="82">
        <f t="shared" si="69"/>
        <v>0</v>
      </c>
      <c r="K808" s="30"/>
      <c r="L808" s="83" t="str">
        <f t="shared" si="70"/>
        <v/>
      </c>
      <c r="M808" s="23"/>
      <c r="Q808" s="12"/>
      <c r="S808"/>
    </row>
    <row r="809" spans="1:19" x14ac:dyDescent="0.25">
      <c r="A809" s="12" t="str">
        <f t="shared" si="68"/>
        <v/>
      </c>
      <c r="B809" s="16"/>
      <c r="C809" s="17"/>
      <c r="D809" s="18"/>
      <c r="E809" s="29"/>
      <c r="F809" s="39"/>
      <c r="G809" s="40"/>
      <c r="H809" s="41"/>
      <c r="I809" s="42"/>
      <c r="J809" s="82">
        <f t="shared" si="69"/>
        <v>0</v>
      </c>
      <c r="K809" s="43"/>
      <c r="L809" s="83" t="str">
        <f t="shared" si="70"/>
        <v/>
      </c>
      <c r="M809" s="53"/>
      <c r="Q809" s="12"/>
      <c r="S809"/>
    </row>
    <row r="810" spans="1:19" x14ac:dyDescent="0.25">
      <c r="A810" s="12" t="str">
        <f t="shared" si="68"/>
        <v/>
      </c>
      <c r="B810" s="16"/>
      <c r="C810" s="17"/>
      <c r="D810" s="18"/>
      <c r="E810" s="29"/>
      <c r="F810" s="27"/>
      <c r="G810" s="28"/>
      <c r="H810" s="19"/>
      <c r="I810" s="23"/>
      <c r="J810" s="82">
        <f t="shared" si="69"/>
        <v>0</v>
      </c>
      <c r="K810" s="30"/>
      <c r="L810" s="83" t="str">
        <f t="shared" si="70"/>
        <v/>
      </c>
      <c r="M810" s="23"/>
      <c r="Q810" s="12"/>
      <c r="S810"/>
    </row>
    <row r="811" spans="1:19" x14ac:dyDescent="0.25">
      <c r="A811" s="12" t="str">
        <f t="shared" si="68"/>
        <v/>
      </c>
      <c r="B811" s="16"/>
      <c r="C811" s="17"/>
      <c r="D811" s="18"/>
      <c r="E811" s="29"/>
      <c r="F811" s="39"/>
      <c r="G811" s="40"/>
      <c r="H811" s="41"/>
      <c r="I811" s="42"/>
      <c r="J811" s="82">
        <f t="shared" si="69"/>
        <v>0</v>
      </c>
      <c r="K811" s="43"/>
      <c r="L811" s="83" t="str">
        <f t="shared" si="70"/>
        <v/>
      </c>
      <c r="M811" s="53"/>
      <c r="Q811" s="12"/>
      <c r="S811"/>
    </row>
    <row r="812" spans="1:19" x14ac:dyDescent="0.25">
      <c r="A812" s="12" t="str">
        <f t="shared" si="68"/>
        <v/>
      </c>
      <c r="B812" s="16"/>
      <c r="C812" s="17"/>
      <c r="D812" s="18"/>
      <c r="E812" s="29"/>
      <c r="F812" s="27"/>
      <c r="G812" s="28"/>
      <c r="H812" s="19"/>
      <c r="I812" s="23"/>
      <c r="J812" s="82">
        <f t="shared" si="69"/>
        <v>0</v>
      </c>
      <c r="K812" s="30"/>
      <c r="L812" s="83" t="str">
        <f t="shared" si="70"/>
        <v/>
      </c>
      <c r="M812" s="23"/>
      <c r="Q812" s="12"/>
      <c r="S812"/>
    </row>
    <row r="813" spans="1:19" x14ac:dyDescent="0.25">
      <c r="A813" s="12" t="str">
        <f t="shared" si="68"/>
        <v/>
      </c>
      <c r="B813" s="16"/>
      <c r="C813" s="17"/>
      <c r="D813" s="18"/>
      <c r="E813" s="29"/>
      <c r="F813" s="39"/>
      <c r="G813" s="40"/>
      <c r="H813" s="41"/>
      <c r="I813" s="42"/>
      <c r="J813" s="82">
        <f t="shared" si="69"/>
        <v>0</v>
      </c>
      <c r="K813" s="43"/>
      <c r="L813" s="83" t="str">
        <f t="shared" si="70"/>
        <v/>
      </c>
      <c r="M813" s="53"/>
      <c r="Q813" s="12"/>
      <c r="S813"/>
    </row>
    <row r="814" spans="1:19" x14ac:dyDescent="0.25">
      <c r="A814" s="12" t="str">
        <f t="shared" si="68"/>
        <v/>
      </c>
      <c r="B814" s="16"/>
      <c r="C814" s="17"/>
      <c r="D814" s="18"/>
      <c r="E814" s="29"/>
      <c r="F814" s="27"/>
      <c r="G814" s="28"/>
      <c r="H814" s="19"/>
      <c r="I814" s="23"/>
      <c r="J814" s="82">
        <f t="shared" si="69"/>
        <v>0</v>
      </c>
      <c r="K814" s="30"/>
      <c r="L814" s="83" t="str">
        <f t="shared" si="70"/>
        <v/>
      </c>
      <c r="M814" s="23"/>
      <c r="Q814" s="12"/>
      <c r="S814"/>
    </row>
    <row r="815" spans="1:19" x14ac:dyDescent="0.25">
      <c r="A815" s="12" t="str">
        <f t="shared" si="68"/>
        <v/>
      </c>
      <c r="B815" s="16"/>
      <c r="C815" s="17"/>
      <c r="D815" s="18"/>
      <c r="E815" s="29"/>
      <c r="F815" s="39"/>
      <c r="G815" s="40"/>
      <c r="H815" s="41"/>
      <c r="I815" s="42"/>
      <c r="J815" s="82">
        <f t="shared" si="69"/>
        <v>0</v>
      </c>
      <c r="K815" s="43"/>
      <c r="L815" s="83" t="str">
        <f t="shared" si="70"/>
        <v/>
      </c>
      <c r="M815" s="53"/>
      <c r="Q815" s="12"/>
      <c r="S815"/>
    </row>
    <row r="816" spans="1:19" x14ac:dyDescent="0.25">
      <c r="A816" s="12" t="str">
        <f t="shared" si="68"/>
        <v/>
      </c>
      <c r="B816" s="16"/>
      <c r="C816" s="17"/>
      <c r="D816" s="18"/>
      <c r="E816" s="29"/>
      <c r="F816" s="27"/>
      <c r="G816" s="28"/>
      <c r="H816" s="19"/>
      <c r="I816" s="23"/>
      <c r="J816" s="82">
        <f t="shared" si="69"/>
        <v>0</v>
      </c>
      <c r="K816" s="30"/>
      <c r="L816" s="83" t="str">
        <f t="shared" si="70"/>
        <v/>
      </c>
      <c r="M816" s="23"/>
      <c r="Q816" s="12"/>
      <c r="S816"/>
    </row>
    <row r="817" spans="1:19" x14ac:dyDescent="0.25">
      <c r="A817" s="12" t="str">
        <f t="shared" si="68"/>
        <v/>
      </c>
      <c r="B817" s="16"/>
      <c r="C817" s="17"/>
      <c r="D817" s="18"/>
      <c r="E817" s="29"/>
      <c r="F817" s="39"/>
      <c r="G817" s="40"/>
      <c r="H817" s="41"/>
      <c r="I817" s="42"/>
      <c r="J817" s="82">
        <f t="shared" si="69"/>
        <v>0</v>
      </c>
      <c r="K817" s="43"/>
      <c r="L817" s="83" t="str">
        <f t="shared" si="70"/>
        <v/>
      </c>
      <c r="M817" s="53"/>
      <c r="Q817" s="12"/>
      <c r="S817"/>
    </row>
    <row r="818" spans="1:19" x14ac:dyDescent="0.25">
      <c r="A818" s="12" t="str">
        <f t="shared" si="68"/>
        <v/>
      </c>
      <c r="B818" s="16"/>
      <c r="C818" s="17"/>
      <c r="D818" s="18"/>
      <c r="E818" s="29"/>
      <c r="F818" s="27"/>
      <c r="G818" s="28"/>
      <c r="H818" s="19"/>
      <c r="I818" s="23"/>
      <c r="J818" s="82">
        <f t="shared" si="69"/>
        <v>0</v>
      </c>
      <c r="K818" s="30"/>
      <c r="L818" s="83" t="str">
        <f t="shared" si="70"/>
        <v/>
      </c>
      <c r="M818" s="23"/>
      <c r="Q818" s="12"/>
      <c r="S818"/>
    </row>
    <row r="819" spans="1:19" x14ac:dyDescent="0.25">
      <c r="A819" s="12" t="str">
        <f t="shared" si="68"/>
        <v/>
      </c>
      <c r="B819" s="16"/>
      <c r="C819" s="17"/>
      <c r="D819" s="18"/>
      <c r="E819" s="29"/>
      <c r="F819" s="39"/>
      <c r="G819" s="40"/>
      <c r="H819" s="41"/>
      <c r="I819" s="42"/>
      <c r="J819" s="82">
        <f t="shared" si="69"/>
        <v>0</v>
      </c>
      <c r="K819" s="43"/>
      <c r="L819" s="83" t="str">
        <f t="shared" si="70"/>
        <v/>
      </c>
      <c r="M819" s="53"/>
      <c r="Q819" s="12"/>
      <c r="S819"/>
    </row>
    <row r="820" spans="1:19" x14ac:dyDescent="0.25">
      <c r="A820" s="12" t="str">
        <f t="shared" ref="A820:A883" si="71">IFERROR(DATE(B820,C820,D820),"")</f>
        <v/>
      </c>
      <c r="B820" s="16"/>
      <c r="C820" s="17"/>
      <c r="D820" s="18"/>
      <c r="E820" s="29"/>
      <c r="F820" s="27"/>
      <c r="G820" s="28"/>
      <c r="H820" s="19"/>
      <c r="I820" s="23"/>
      <c r="J820" s="82">
        <f t="shared" ref="J820:J883" si="72">IF(E820="entrada",H820*I820,H820*I820*-1)</f>
        <v>0</v>
      </c>
      <c r="K820" s="30"/>
      <c r="L820" s="83" t="str">
        <f t="shared" ref="L820:L883" si="73">IF(J820=0,"",SUM(L819,J820))</f>
        <v/>
      </c>
      <c r="M820" s="23"/>
      <c r="Q820" s="12"/>
      <c r="S820"/>
    </row>
    <row r="821" spans="1:19" x14ac:dyDescent="0.25">
      <c r="A821" s="12" t="str">
        <f t="shared" si="71"/>
        <v/>
      </c>
      <c r="B821" s="16"/>
      <c r="C821" s="17"/>
      <c r="D821" s="18"/>
      <c r="E821" s="29"/>
      <c r="F821" s="39"/>
      <c r="G821" s="40"/>
      <c r="H821" s="41"/>
      <c r="I821" s="42"/>
      <c r="J821" s="82">
        <f t="shared" si="72"/>
        <v>0</v>
      </c>
      <c r="K821" s="43"/>
      <c r="L821" s="83" t="str">
        <f t="shared" si="73"/>
        <v/>
      </c>
      <c r="M821" s="53"/>
      <c r="Q821" s="12"/>
      <c r="S821"/>
    </row>
    <row r="822" spans="1:19" x14ac:dyDescent="0.25">
      <c r="A822" s="12" t="str">
        <f t="shared" si="71"/>
        <v/>
      </c>
      <c r="B822" s="16"/>
      <c r="C822" s="17"/>
      <c r="D822" s="18"/>
      <c r="E822" s="29"/>
      <c r="F822" s="27"/>
      <c r="G822" s="28"/>
      <c r="H822" s="19"/>
      <c r="I822" s="23"/>
      <c r="J822" s="82">
        <f t="shared" si="72"/>
        <v>0</v>
      </c>
      <c r="K822" s="30"/>
      <c r="L822" s="83" t="str">
        <f t="shared" si="73"/>
        <v/>
      </c>
      <c r="M822" s="23"/>
      <c r="Q822" s="12"/>
      <c r="S822"/>
    </row>
    <row r="823" spans="1:19" x14ac:dyDescent="0.25">
      <c r="A823" s="12" t="str">
        <f t="shared" si="71"/>
        <v/>
      </c>
      <c r="B823" s="16"/>
      <c r="C823" s="17"/>
      <c r="D823" s="18"/>
      <c r="E823" s="29"/>
      <c r="F823" s="39"/>
      <c r="G823" s="40"/>
      <c r="H823" s="41"/>
      <c r="I823" s="42"/>
      <c r="J823" s="82">
        <f t="shared" si="72"/>
        <v>0</v>
      </c>
      <c r="K823" s="43"/>
      <c r="L823" s="83" t="str">
        <f t="shared" si="73"/>
        <v/>
      </c>
      <c r="M823" s="53"/>
      <c r="Q823" s="12"/>
      <c r="S823"/>
    </row>
    <row r="824" spans="1:19" x14ac:dyDescent="0.25">
      <c r="A824" s="12" t="str">
        <f t="shared" si="71"/>
        <v/>
      </c>
      <c r="B824" s="16"/>
      <c r="C824" s="17"/>
      <c r="D824" s="18"/>
      <c r="E824" s="29"/>
      <c r="F824" s="27"/>
      <c r="G824" s="28"/>
      <c r="H824" s="19"/>
      <c r="I824" s="23"/>
      <c r="J824" s="82">
        <f t="shared" si="72"/>
        <v>0</v>
      </c>
      <c r="K824" s="30"/>
      <c r="L824" s="83" t="str">
        <f t="shared" si="73"/>
        <v/>
      </c>
      <c r="M824" s="23"/>
      <c r="Q824" s="12"/>
      <c r="S824"/>
    </row>
    <row r="825" spans="1:19" x14ac:dyDescent="0.25">
      <c r="A825" s="12" t="str">
        <f t="shared" si="71"/>
        <v/>
      </c>
      <c r="B825" s="16"/>
      <c r="C825" s="17"/>
      <c r="D825" s="18"/>
      <c r="E825" s="29"/>
      <c r="F825" s="39"/>
      <c r="G825" s="40"/>
      <c r="H825" s="41"/>
      <c r="I825" s="42"/>
      <c r="J825" s="82">
        <f t="shared" si="72"/>
        <v>0</v>
      </c>
      <c r="K825" s="43"/>
      <c r="L825" s="83" t="str">
        <f t="shared" si="73"/>
        <v/>
      </c>
      <c r="M825" s="53"/>
      <c r="Q825" s="12"/>
      <c r="S825"/>
    </row>
    <row r="826" spans="1:19" x14ac:dyDescent="0.25">
      <c r="A826" s="12" t="str">
        <f t="shared" si="71"/>
        <v/>
      </c>
      <c r="B826" s="16"/>
      <c r="C826" s="17"/>
      <c r="D826" s="18"/>
      <c r="E826" s="29"/>
      <c r="F826" s="27"/>
      <c r="G826" s="28"/>
      <c r="H826" s="19"/>
      <c r="I826" s="23"/>
      <c r="J826" s="82">
        <f t="shared" si="72"/>
        <v>0</v>
      </c>
      <c r="K826" s="30"/>
      <c r="L826" s="83" t="str">
        <f t="shared" si="73"/>
        <v/>
      </c>
      <c r="M826" s="23"/>
      <c r="Q826" s="12"/>
      <c r="S826"/>
    </row>
    <row r="827" spans="1:19" x14ac:dyDescent="0.25">
      <c r="A827" s="12" t="str">
        <f t="shared" si="71"/>
        <v/>
      </c>
      <c r="B827" s="16"/>
      <c r="C827" s="17"/>
      <c r="D827" s="18"/>
      <c r="E827" s="29"/>
      <c r="F827" s="39"/>
      <c r="G827" s="40"/>
      <c r="H827" s="41"/>
      <c r="I827" s="42"/>
      <c r="J827" s="82">
        <f t="shared" si="72"/>
        <v>0</v>
      </c>
      <c r="K827" s="43"/>
      <c r="L827" s="83" t="str">
        <f t="shared" si="73"/>
        <v/>
      </c>
      <c r="M827" s="53"/>
      <c r="Q827" s="12"/>
      <c r="S827"/>
    </row>
    <row r="828" spans="1:19" x14ac:dyDescent="0.25">
      <c r="A828" s="12" t="str">
        <f t="shared" si="71"/>
        <v/>
      </c>
      <c r="B828" s="16"/>
      <c r="C828" s="17"/>
      <c r="D828" s="18"/>
      <c r="E828" s="29"/>
      <c r="F828" s="27"/>
      <c r="G828" s="28"/>
      <c r="H828" s="19"/>
      <c r="I828" s="23"/>
      <c r="J828" s="82">
        <f t="shared" si="72"/>
        <v>0</v>
      </c>
      <c r="K828" s="30"/>
      <c r="L828" s="83" t="str">
        <f t="shared" si="73"/>
        <v/>
      </c>
      <c r="M828" s="23"/>
      <c r="Q828" s="12"/>
      <c r="S828"/>
    </row>
    <row r="829" spans="1:19" x14ac:dyDescent="0.25">
      <c r="A829" s="12" t="str">
        <f t="shared" si="71"/>
        <v/>
      </c>
      <c r="B829" s="16"/>
      <c r="C829" s="17"/>
      <c r="D829" s="18"/>
      <c r="E829" s="29"/>
      <c r="F829" s="39"/>
      <c r="G829" s="40"/>
      <c r="H829" s="41"/>
      <c r="I829" s="42"/>
      <c r="J829" s="82">
        <f t="shared" si="72"/>
        <v>0</v>
      </c>
      <c r="K829" s="43"/>
      <c r="L829" s="83" t="str">
        <f t="shared" si="73"/>
        <v/>
      </c>
      <c r="M829" s="53"/>
      <c r="Q829" s="12"/>
      <c r="S829"/>
    </row>
    <row r="830" spans="1:19" x14ac:dyDescent="0.25">
      <c r="A830" s="12" t="str">
        <f t="shared" si="71"/>
        <v/>
      </c>
      <c r="B830" s="16"/>
      <c r="C830" s="17"/>
      <c r="D830" s="18"/>
      <c r="E830" s="29"/>
      <c r="F830" s="27"/>
      <c r="G830" s="28"/>
      <c r="H830" s="19"/>
      <c r="I830" s="23"/>
      <c r="J830" s="82">
        <f t="shared" si="72"/>
        <v>0</v>
      </c>
      <c r="K830" s="30"/>
      <c r="L830" s="83" t="str">
        <f t="shared" si="73"/>
        <v/>
      </c>
      <c r="M830" s="23"/>
      <c r="Q830" s="12"/>
      <c r="S830"/>
    </row>
    <row r="831" spans="1:19" x14ac:dyDescent="0.25">
      <c r="A831" s="12" t="str">
        <f t="shared" si="71"/>
        <v/>
      </c>
      <c r="B831" s="16"/>
      <c r="C831" s="17"/>
      <c r="D831" s="18"/>
      <c r="E831" s="29"/>
      <c r="F831" s="39"/>
      <c r="G831" s="40"/>
      <c r="H831" s="41"/>
      <c r="I831" s="42"/>
      <c r="J831" s="82">
        <f t="shared" si="72"/>
        <v>0</v>
      </c>
      <c r="K831" s="43"/>
      <c r="L831" s="83" t="str">
        <f t="shared" si="73"/>
        <v/>
      </c>
      <c r="M831" s="53"/>
      <c r="Q831" s="12"/>
      <c r="S831"/>
    </row>
    <row r="832" spans="1:19" x14ac:dyDescent="0.25">
      <c r="A832" s="12" t="str">
        <f t="shared" si="71"/>
        <v/>
      </c>
      <c r="B832" s="16"/>
      <c r="C832" s="17"/>
      <c r="D832" s="18"/>
      <c r="E832" s="29"/>
      <c r="F832" s="27"/>
      <c r="G832" s="28"/>
      <c r="H832" s="19"/>
      <c r="I832" s="23"/>
      <c r="J832" s="82">
        <f t="shared" si="72"/>
        <v>0</v>
      </c>
      <c r="K832" s="30"/>
      <c r="L832" s="83" t="str">
        <f t="shared" si="73"/>
        <v/>
      </c>
      <c r="M832" s="23"/>
      <c r="Q832" s="12"/>
      <c r="S832"/>
    </row>
    <row r="833" spans="1:19" x14ac:dyDescent="0.25">
      <c r="A833" s="12" t="str">
        <f t="shared" si="71"/>
        <v/>
      </c>
      <c r="B833" s="16"/>
      <c r="C833" s="17"/>
      <c r="D833" s="18"/>
      <c r="E833" s="29"/>
      <c r="F833" s="39"/>
      <c r="G833" s="40"/>
      <c r="H833" s="41"/>
      <c r="I833" s="42"/>
      <c r="J833" s="82">
        <f t="shared" si="72"/>
        <v>0</v>
      </c>
      <c r="K833" s="43"/>
      <c r="L833" s="83" t="str">
        <f t="shared" si="73"/>
        <v/>
      </c>
      <c r="M833" s="53"/>
      <c r="Q833" s="12"/>
      <c r="S833"/>
    </row>
    <row r="834" spans="1:19" x14ac:dyDescent="0.25">
      <c r="A834" s="12" t="str">
        <f t="shared" si="71"/>
        <v/>
      </c>
      <c r="B834" s="16"/>
      <c r="C834" s="17"/>
      <c r="D834" s="18"/>
      <c r="E834" s="29"/>
      <c r="F834" s="27"/>
      <c r="G834" s="28"/>
      <c r="H834" s="19"/>
      <c r="I834" s="23"/>
      <c r="J834" s="82">
        <f t="shared" si="72"/>
        <v>0</v>
      </c>
      <c r="K834" s="30"/>
      <c r="L834" s="83" t="str">
        <f t="shared" si="73"/>
        <v/>
      </c>
      <c r="M834" s="23"/>
      <c r="Q834" s="12"/>
      <c r="S834"/>
    </row>
    <row r="835" spans="1:19" x14ac:dyDescent="0.25">
      <c r="A835" s="12" t="str">
        <f t="shared" si="71"/>
        <v/>
      </c>
      <c r="B835" s="16"/>
      <c r="C835" s="17"/>
      <c r="D835" s="18"/>
      <c r="E835" s="29"/>
      <c r="F835" s="39"/>
      <c r="G835" s="40"/>
      <c r="H835" s="41"/>
      <c r="I835" s="42"/>
      <c r="J835" s="82">
        <f t="shared" si="72"/>
        <v>0</v>
      </c>
      <c r="K835" s="43"/>
      <c r="L835" s="83" t="str">
        <f t="shared" si="73"/>
        <v/>
      </c>
      <c r="M835" s="53"/>
      <c r="Q835" s="12"/>
      <c r="S835"/>
    </row>
    <row r="836" spans="1:19" x14ac:dyDescent="0.25">
      <c r="A836" s="12" t="str">
        <f t="shared" si="71"/>
        <v/>
      </c>
      <c r="B836" s="16"/>
      <c r="C836" s="17"/>
      <c r="D836" s="18"/>
      <c r="E836" s="29"/>
      <c r="F836" s="27"/>
      <c r="G836" s="28"/>
      <c r="H836" s="19"/>
      <c r="I836" s="23"/>
      <c r="J836" s="82">
        <f t="shared" si="72"/>
        <v>0</v>
      </c>
      <c r="K836" s="30"/>
      <c r="L836" s="83" t="str">
        <f t="shared" si="73"/>
        <v/>
      </c>
      <c r="M836" s="23"/>
      <c r="Q836" s="12"/>
      <c r="S836"/>
    </row>
    <row r="837" spans="1:19" x14ac:dyDescent="0.25">
      <c r="A837" s="12" t="str">
        <f t="shared" si="71"/>
        <v/>
      </c>
      <c r="B837" s="16"/>
      <c r="C837" s="17"/>
      <c r="D837" s="18"/>
      <c r="E837" s="29"/>
      <c r="F837" s="39"/>
      <c r="G837" s="40"/>
      <c r="H837" s="41"/>
      <c r="I837" s="42"/>
      <c r="J837" s="82">
        <f t="shared" si="72"/>
        <v>0</v>
      </c>
      <c r="K837" s="43"/>
      <c r="L837" s="83" t="str">
        <f t="shared" si="73"/>
        <v/>
      </c>
      <c r="M837" s="53"/>
      <c r="Q837" s="12"/>
      <c r="S837"/>
    </row>
    <row r="838" spans="1:19" x14ac:dyDescent="0.25">
      <c r="A838" s="12" t="str">
        <f t="shared" si="71"/>
        <v/>
      </c>
      <c r="B838" s="16"/>
      <c r="C838" s="17"/>
      <c r="D838" s="18"/>
      <c r="E838" s="29"/>
      <c r="F838" s="27"/>
      <c r="G838" s="28"/>
      <c r="H838" s="19"/>
      <c r="I838" s="23"/>
      <c r="J838" s="82">
        <f t="shared" si="72"/>
        <v>0</v>
      </c>
      <c r="K838" s="30"/>
      <c r="L838" s="83" t="str">
        <f t="shared" si="73"/>
        <v/>
      </c>
      <c r="M838" s="23"/>
      <c r="Q838" s="12"/>
      <c r="S838"/>
    </row>
    <row r="839" spans="1:19" x14ac:dyDescent="0.25">
      <c r="A839" s="12" t="str">
        <f t="shared" si="71"/>
        <v/>
      </c>
      <c r="B839" s="16"/>
      <c r="C839" s="17"/>
      <c r="D839" s="18"/>
      <c r="E839" s="29"/>
      <c r="F839" s="39"/>
      <c r="G839" s="40"/>
      <c r="H839" s="41"/>
      <c r="I839" s="42"/>
      <c r="J839" s="82">
        <f t="shared" si="72"/>
        <v>0</v>
      </c>
      <c r="K839" s="43"/>
      <c r="L839" s="83" t="str">
        <f t="shared" si="73"/>
        <v/>
      </c>
      <c r="M839" s="53"/>
      <c r="Q839" s="12"/>
      <c r="S839"/>
    </row>
    <row r="840" spans="1:19" x14ac:dyDescent="0.25">
      <c r="A840" s="12" t="str">
        <f t="shared" si="71"/>
        <v/>
      </c>
      <c r="B840" s="16"/>
      <c r="C840" s="17"/>
      <c r="D840" s="18"/>
      <c r="E840" s="29"/>
      <c r="F840" s="27"/>
      <c r="G840" s="28"/>
      <c r="H840" s="19"/>
      <c r="I840" s="23"/>
      <c r="J840" s="82">
        <f t="shared" si="72"/>
        <v>0</v>
      </c>
      <c r="K840" s="30"/>
      <c r="L840" s="83" t="str">
        <f t="shared" si="73"/>
        <v/>
      </c>
      <c r="M840" s="23"/>
      <c r="Q840" s="12"/>
      <c r="S840"/>
    </row>
    <row r="841" spans="1:19" x14ac:dyDescent="0.25">
      <c r="A841" s="12" t="str">
        <f t="shared" si="71"/>
        <v/>
      </c>
      <c r="B841" s="16"/>
      <c r="C841" s="17"/>
      <c r="D841" s="18"/>
      <c r="E841" s="29"/>
      <c r="F841" s="39"/>
      <c r="G841" s="40"/>
      <c r="H841" s="41"/>
      <c r="I841" s="42"/>
      <c r="J841" s="82">
        <f t="shared" si="72"/>
        <v>0</v>
      </c>
      <c r="K841" s="43"/>
      <c r="L841" s="83" t="str">
        <f t="shared" si="73"/>
        <v/>
      </c>
      <c r="M841" s="53"/>
      <c r="Q841" s="12"/>
      <c r="S841"/>
    </row>
    <row r="842" spans="1:19" x14ac:dyDescent="0.25">
      <c r="A842" s="12" t="str">
        <f t="shared" si="71"/>
        <v/>
      </c>
      <c r="B842" s="16"/>
      <c r="C842" s="17"/>
      <c r="D842" s="18"/>
      <c r="E842" s="29"/>
      <c r="F842" s="27"/>
      <c r="G842" s="28"/>
      <c r="H842" s="19"/>
      <c r="I842" s="23"/>
      <c r="J842" s="82">
        <f t="shared" si="72"/>
        <v>0</v>
      </c>
      <c r="K842" s="30"/>
      <c r="L842" s="83" t="str">
        <f t="shared" si="73"/>
        <v/>
      </c>
      <c r="M842" s="23"/>
      <c r="Q842" s="12"/>
      <c r="S842"/>
    </row>
    <row r="843" spans="1:19" x14ac:dyDescent="0.25">
      <c r="A843" s="12" t="str">
        <f t="shared" si="71"/>
        <v/>
      </c>
      <c r="B843" s="16"/>
      <c r="C843" s="17"/>
      <c r="D843" s="18"/>
      <c r="E843" s="29"/>
      <c r="F843" s="39"/>
      <c r="G843" s="40"/>
      <c r="H843" s="41"/>
      <c r="I843" s="42"/>
      <c r="J843" s="82">
        <f t="shared" si="72"/>
        <v>0</v>
      </c>
      <c r="K843" s="43"/>
      <c r="L843" s="83" t="str">
        <f t="shared" si="73"/>
        <v/>
      </c>
      <c r="M843" s="53"/>
      <c r="Q843" s="12"/>
      <c r="S843"/>
    </row>
    <row r="844" spans="1:19" x14ac:dyDescent="0.25">
      <c r="A844" s="12" t="str">
        <f t="shared" si="71"/>
        <v/>
      </c>
      <c r="B844" s="16"/>
      <c r="C844" s="17"/>
      <c r="D844" s="18"/>
      <c r="E844" s="29"/>
      <c r="F844" s="27"/>
      <c r="G844" s="28"/>
      <c r="H844" s="19"/>
      <c r="I844" s="23"/>
      <c r="J844" s="82">
        <f t="shared" si="72"/>
        <v>0</v>
      </c>
      <c r="K844" s="30"/>
      <c r="L844" s="83" t="str">
        <f t="shared" si="73"/>
        <v/>
      </c>
      <c r="M844" s="23"/>
      <c r="Q844" s="12"/>
      <c r="S844"/>
    </row>
    <row r="845" spans="1:19" x14ac:dyDescent="0.25">
      <c r="A845" s="12" t="str">
        <f t="shared" si="71"/>
        <v/>
      </c>
      <c r="B845" s="16"/>
      <c r="C845" s="17"/>
      <c r="D845" s="18"/>
      <c r="E845" s="29"/>
      <c r="F845" s="39"/>
      <c r="G845" s="40"/>
      <c r="H845" s="41"/>
      <c r="I845" s="42"/>
      <c r="J845" s="82">
        <f t="shared" si="72"/>
        <v>0</v>
      </c>
      <c r="K845" s="43"/>
      <c r="L845" s="83" t="str">
        <f t="shared" si="73"/>
        <v/>
      </c>
      <c r="M845" s="53"/>
      <c r="Q845" s="12"/>
      <c r="S845"/>
    </row>
    <row r="846" spans="1:19" x14ac:dyDescent="0.25">
      <c r="A846" s="12" t="str">
        <f t="shared" si="71"/>
        <v/>
      </c>
      <c r="B846" s="16"/>
      <c r="C846" s="17"/>
      <c r="D846" s="18"/>
      <c r="E846" s="29"/>
      <c r="F846" s="27"/>
      <c r="G846" s="28"/>
      <c r="H846" s="19"/>
      <c r="I846" s="23"/>
      <c r="J846" s="82">
        <f t="shared" si="72"/>
        <v>0</v>
      </c>
      <c r="K846" s="30"/>
      <c r="L846" s="83" t="str">
        <f t="shared" si="73"/>
        <v/>
      </c>
      <c r="M846" s="23"/>
      <c r="Q846" s="12"/>
      <c r="S846"/>
    </row>
    <row r="847" spans="1:19" x14ac:dyDescent="0.25">
      <c r="A847" s="12" t="str">
        <f t="shared" si="71"/>
        <v/>
      </c>
      <c r="B847" s="16"/>
      <c r="C847" s="17"/>
      <c r="D847" s="18"/>
      <c r="E847" s="29"/>
      <c r="F847" s="39"/>
      <c r="G847" s="40"/>
      <c r="H847" s="41"/>
      <c r="I847" s="42"/>
      <c r="J847" s="82">
        <f t="shared" si="72"/>
        <v>0</v>
      </c>
      <c r="K847" s="43"/>
      <c r="L847" s="83" t="str">
        <f t="shared" si="73"/>
        <v/>
      </c>
      <c r="M847" s="53"/>
      <c r="Q847" s="12"/>
      <c r="S847"/>
    </row>
    <row r="848" spans="1:19" x14ac:dyDescent="0.25">
      <c r="A848" s="12" t="str">
        <f t="shared" si="71"/>
        <v/>
      </c>
      <c r="B848" s="16"/>
      <c r="C848" s="17"/>
      <c r="D848" s="18"/>
      <c r="E848" s="29"/>
      <c r="F848" s="27"/>
      <c r="G848" s="28"/>
      <c r="H848" s="19"/>
      <c r="I848" s="23"/>
      <c r="J848" s="82">
        <f t="shared" si="72"/>
        <v>0</v>
      </c>
      <c r="K848" s="30"/>
      <c r="L848" s="83" t="str">
        <f t="shared" si="73"/>
        <v/>
      </c>
      <c r="M848" s="23"/>
      <c r="Q848" s="12"/>
      <c r="S848"/>
    </row>
    <row r="849" spans="1:19" x14ac:dyDescent="0.25">
      <c r="A849" s="12" t="str">
        <f t="shared" si="71"/>
        <v/>
      </c>
      <c r="B849" s="16"/>
      <c r="C849" s="17"/>
      <c r="D849" s="18"/>
      <c r="E849" s="29"/>
      <c r="F849" s="39"/>
      <c r="G849" s="40"/>
      <c r="H849" s="41"/>
      <c r="I849" s="42"/>
      <c r="J849" s="82">
        <f t="shared" si="72"/>
        <v>0</v>
      </c>
      <c r="K849" s="43"/>
      <c r="L849" s="83" t="str">
        <f t="shared" si="73"/>
        <v/>
      </c>
      <c r="M849" s="53"/>
      <c r="Q849" s="12"/>
      <c r="S849"/>
    </row>
    <row r="850" spans="1:19" x14ac:dyDescent="0.25">
      <c r="A850" s="12" t="str">
        <f t="shared" si="71"/>
        <v/>
      </c>
      <c r="B850" s="16"/>
      <c r="C850" s="17"/>
      <c r="D850" s="18"/>
      <c r="E850" s="29"/>
      <c r="F850" s="27"/>
      <c r="G850" s="28"/>
      <c r="H850" s="19"/>
      <c r="I850" s="23"/>
      <c r="J850" s="82">
        <f t="shared" si="72"/>
        <v>0</v>
      </c>
      <c r="K850" s="30"/>
      <c r="L850" s="83" t="str">
        <f t="shared" si="73"/>
        <v/>
      </c>
      <c r="M850" s="23"/>
      <c r="Q850" s="12"/>
      <c r="S850"/>
    </row>
    <row r="851" spans="1:19" x14ac:dyDescent="0.25">
      <c r="A851" s="12" t="str">
        <f t="shared" si="71"/>
        <v/>
      </c>
      <c r="B851" s="16"/>
      <c r="C851" s="17"/>
      <c r="D851" s="18"/>
      <c r="E851" s="29"/>
      <c r="F851" s="39"/>
      <c r="G851" s="40"/>
      <c r="H851" s="41"/>
      <c r="I851" s="42"/>
      <c r="J851" s="82">
        <f t="shared" si="72"/>
        <v>0</v>
      </c>
      <c r="K851" s="43"/>
      <c r="L851" s="83" t="str">
        <f t="shared" si="73"/>
        <v/>
      </c>
      <c r="M851" s="53"/>
      <c r="Q851" s="12"/>
      <c r="S851"/>
    </row>
    <row r="852" spans="1:19" x14ac:dyDescent="0.25">
      <c r="A852" s="12" t="str">
        <f t="shared" si="71"/>
        <v/>
      </c>
      <c r="B852" s="16"/>
      <c r="C852" s="17"/>
      <c r="D852" s="18"/>
      <c r="E852" s="29"/>
      <c r="F852" s="27"/>
      <c r="G852" s="28"/>
      <c r="H852" s="19"/>
      <c r="I852" s="23"/>
      <c r="J852" s="82">
        <f t="shared" si="72"/>
        <v>0</v>
      </c>
      <c r="K852" s="30"/>
      <c r="L852" s="83" t="str">
        <f t="shared" si="73"/>
        <v/>
      </c>
      <c r="M852" s="23"/>
      <c r="Q852" s="12"/>
      <c r="S852"/>
    </row>
    <row r="853" spans="1:19" x14ac:dyDescent="0.25">
      <c r="A853" s="12" t="str">
        <f t="shared" si="71"/>
        <v/>
      </c>
      <c r="B853" s="16"/>
      <c r="C853" s="17"/>
      <c r="D853" s="18"/>
      <c r="E853" s="29"/>
      <c r="F853" s="39"/>
      <c r="G853" s="40"/>
      <c r="H853" s="41"/>
      <c r="I853" s="42"/>
      <c r="J853" s="82">
        <f t="shared" si="72"/>
        <v>0</v>
      </c>
      <c r="K853" s="43"/>
      <c r="L853" s="83" t="str">
        <f t="shared" si="73"/>
        <v/>
      </c>
      <c r="M853" s="53"/>
      <c r="Q853" s="12"/>
      <c r="S853"/>
    </row>
    <row r="854" spans="1:19" x14ac:dyDescent="0.25">
      <c r="A854" s="12" t="str">
        <f t="shared" si="71"/>
        <v/>
      </c>
      <c r="B854" s="16"/>
      <c r="C854" s="17"/>
      <c r="D854" s="18"/>
      <c r="E854" s="29"/>
      <c r="F854" s="27"/>
      <c r="G854" s="28"/>
      <c r="H854" s="19"/>
      <c r="I854" s="23"/>
      <c r="J854" s="82">
        <f t="shared" si="72"/>
        <v>0</v>
      </c>
      <c r="K854" s="30"/>
      <c r="L854" s="83" t="str">
        <f t="shared" si="73"/>
        <v/>
      </c>
      <c r="M854" s="23"/>
      <c r="Q854" s="12"/>
      <c r="S854"/>
    </row>
    <row r="855" spans="1:19" x14ac:dyDescent="0.25">
      <c r="A855" s="12" t="str">
        <f t="shared" si="71"/>
        <v/>
      </c>
      <c r="B855" s="16"/>
      <c r="C855" s="17"/>
      <c r="D855" s="18"/>
      <c r="E855" s="29"/>
      <c r="F855" s="39"/>
      <c r="G855" s="40"/>
      <c r="H855" s="41"/>
      <c r="I855" s="42"/>
      <c r="J855" s="82">
        <f t="shared" si="72"/>
        <v>0</v>
      </c>
      <c r="K855" s="43"/>
      <c r="L855" s="83" t="str">
        <f t="shared" si="73"/>
        <v/>
      </c>
      <c r="M855" s="53"/>
      <c r="Q855" s="12"/>
      <c r="S855"/>
    </row>
    <row r="856" spans="1:19" x14ac:dyDescent="0.25">
      <c r="A856" s="12" t="str">
        <f t="shared" si="71"/>
        <v/>
      </c>
      <c r="B856" s="16"/>
      <c r="C856" s="17"/>
      <c r="D856" s="18"/>
      <c r="E856" s="29"/>
      <c r="F856" s="27"/>
      <c r="G856" s="28"/>
      <c r="H856" s="19"/>
      <c r="I856" s="23"/>
      <c r="J856" s="82">
        <f t="shared" si="72"/>
        <v>0</v>
      </c>
      <c r="K856" s="30"/>
      <c r="L856" s="83" t="str">
        <f t="shared" si="73"/>
        <v/>
      </c>
      <c r="M856" s="23"/>
      <c r="Q856" s="12"/>
      <c r="S856"/>
    </row>
    <row r="857" spans="1:19" x14ac:dyDescent="0.25">
      <c r="A857" s="12" t="str">
        <f t="shared" si="71"/>
        <v/>
      </c>
      <c r="B857" s="16"/>
      <c r="C857" s="17"/>
      <c r="D857" s="18"/>
      <c r="E857" s="29"/>
      <c r="F857" s="39"/>
      <c r="G857" s="40"/>
      <c r="H857" s="41"/>
      <c r="I857" s="42"/>
      <c r="J857" s="82">
        <f t="shared" si="72"/>
        <v>0</v>
      </c>
      <c r="K857" s="43"/>
      <c r="L857" s="83" t="str">
        <f t="shared" si="73"/>
        <v/>
      </c>
      <c r="M857" s="53"/>
      <c r="Q857" s="12"/>
      <c r="S857"/>
    </row>
    <row r="858" spans="1:19" x14ac:dyDescent="0.25">
      <c r="A858" s="12" t="str">
        <f t="shared" si="71"/>
        <v/>
      </c>
      <c r="B858" s="16"/>
      <c r="C858" s="17"/>
      <c r="D858" s="18"/>
      <c r="E858" s="29"/>
      <c r="F858" s="27"/>
      <c r="G858" s="28"/>
      <c r="H858" s="19"/>
      <c r="I858" s="23"/>
      <c r="J858" s="82">
        <f t="shared" si="72"/>
        <v>0</v>
      </c>
      <c r="K858" s="30"/>
      <c r="L858" s="83" t="str">
        <f t="shared" si="73"/>
        <v/>
      </c>
      <c r="M858" s="23"/>
      <c r="Q858" s="12"/>
      <c r="S858"/>
    </row>
    <row r="859" spans="1:19" x14ac:dyDescent="0.25">
      <c r="A859" s="12" t="str">
        <f t="shared" si="71"/>
        <v/>
      </c>
      <c r="B859" s="16"/>
      <c r="C859" s="17"/>
      <c r="D859" s="18"/>
      <c r="E859" s="29"/>
      <c r="F859" s="39"/>
      <c r="G859" s="40"/>
      <c r="H859" s="41"/>
      <c r="I859" s="42"/>
      <c r="J859" s="82">
        <f t="shared" si="72"/>
        <v>0</v>
      </c>
      <c r="K859" s="43"/>
      <c r="L859" s="83" t="str">
        <f t="shared" si="73"/>
        <v/>
      </c>
      <c r="M859" s="53"/>
      <c r="Q859" s="12"/>
      <c r="S859"/>
    </row>
    <row r="860" spans="1:19" x14ac:dyDescent="0.25">
      <c r="A860" s="12" t="str">
        <f t="shared" si="71"/>
        <v/>
      </c>
      <c r="B860" s="16"/>
      <c r="C860" s="17"/>
      <c r="D860" s="18"/>
      <c r="E860" s="29"/>
      <c r="F860" s="27"/>
      <c r="G860" s="28"/>
      <c r="H860" s="19"/>
      <c r="I860" s="23"/>
      <c r="J860" s="82">
        <f t="shared" si="72"/>
        <v>0</v>
      </c>
      <c r="K860" s="30"/>
      <c r="L860" s="83" t="str">
        <f t="shared" si="73"/>
        <v/>
      </c>
      <c r="M860" s="23"/>
      <c r="Q860" s="12"/>
      <c r="S860"/>
    </row>
    <row r="861" spans="1:19" x14ac:dyDescent="0.25">
      <c r="A861" s="12" t="str">
        <f t="shared" si="71"/>
        <v/>
      </c>
      <c r="B861" s="16"/>
      <c r="C861" s="17"/>
      <c r="D861" s="18"/>
      <c r="E861" s="29"/>
      <c r="F861" s="39"/>
      <c r="G861" s="40"/>
      <c r="H861" s="41"/>
      <c r="I861" s="42"/>
      <c r="J861" s="82">
        <f t="shared" si="72"/>
        <v>0</v>
      </c>
      <c r="K861" s="43"/>
      <c r="L861" s="83" t="str">
        <f t="shared" si="73"/>
        <v/>
      </c>
      <c r="M861" s="53"/>
      <c r="Q861" s="12"/>
      <c r="S861"/>
    </row>
    <row r="862" spans="1:19" x14ac:dyDescent="0.25">
      <c r="A862" s="12" t="str">
        <f t="shared" si="71"/>
        <v/>
      </c>
      <c r="B862" s="16"/>
      <c r="C862" s="17"/>
      <c r="D862" s="18"/>
      <c r="E862" s="29"/>
      <c r="F862" s="27"/>
      <c r="G862" s="28"/>
      <c r="H862" s="19"/>
      <c r="I862" s="23"/>
      <c r="J862" s="82">
        <f t="shared" si="72"/>
        <v>0</v>
      </c>
      <c r="K862" s="30"/>
      <c r="L862" s="83" t="str">
        <f t="shared" si="73"/>
        <v/>
      </c>
      <c r="M862" s="23"/>
      <c r="Q862" s="12"/>
      <c r="S862"/>
    </row>
    <row r="863" spans="1:19" x14ac:dyDescent="0.25">
      <c r="A863" s="12" t="str">
        <f t="shared" si="71"/>
        <v/>
      </c>
      <c r="B863" s="16"/>
      <c r="C863" s="17"/>
      <c r="D863" s="18"/>
      <c r="E863" s="29"/>
      <c r="F863" s="39"/>
      <c r="G863" s="40"/>
      <c r="H863" s="41"/>
      <c r="I863" s="42"/>
      <c r="J863" s="82">
        <f t="shared" si="72"/>
        <v>0</v>
      </c>
      <c r="K863" s="43"/>
      <c r="L863" s="83" t="str">
        <f t="shared" si="73"/>
        <v/>
      </c>
      <c r="M863" s="53"/>
      <c r="Q863" s="12"/>
      <c r="S863"/>
    </row>
    <row r="864" spans="1:19" x14ac:dyDescent="0.25">
      <c r="A864" s="12" t="str">
        <f t="shared" si="71"/>
        <v/>
      </c>
      <c r="B864" s="16"/>
      <c r="C864" s="17"/>
      <c r="D864" s="18"/>
      <c r="E864" s="29"/>
      <c r="F864" s="27"/>
      <c r="G864" s="28"/>
      <c r="H864" s="19"/>
      <c r="I864" s="23"/>
      <c r="J864" s="82">
        <f t="shared" si="72"/>
        <v>0</v>
      </c>
      <c r="K864" s="30"/>
      <c r="L864" s="83" t="str">
        <f t="shared" si="73"/>
        <v/>
      </c>
      <c r="M864" s="23"/>
      <c r="Q864" s="12"/>
      <c r="S864"/>
    </row>
    <row r="865" spans="1:19" x14ac:dyDescent="0.25">
      <c r="A865" s="12" t="str">
        <f t="shared" si="71"/>
        <v/>
      </c>
      <c r="B865" s="16"/>
      <c r="C865" s="17"/>
      <c r="D865" s="18"/>
      <c r="E865" s="29"/>
      <c r="F865" s="39"/>
      <c r="G865" s="40"/>
      <c r="H865" s="41"/>
      <c r="I865" s="42"/>
      <c r="J865" s="82">
        <f t="shared" si="72"/>
        <v>0</v>
      </c>
      <c r="K865" s="43"/>
      <c r="L865" s="83" t="str">
        <f t="shared" si="73"/>
        <v/>
      </c>
      <c r="M865" s="53"/>
      <c r="Q865" s="12"/>
      <c r="S865"/>
    </row>
    <row r="866" spans="1:19" x14ac:dyDescent="0.25">
      <c r="A866" s="12" t="str">
        <f t="shared" si="71"/>
        <v/>
      </c>
      <c r="B866" s="16"/>
      <c r="C866" s="17"/>
      <c r="D866" s="18"/>
      <c r="E866" s="29"/>
      <c r="F866" s="27"/>
      <c r="G866" s="28"/>
      <c r="H866" s="19"/>
      <c r="I866" s="23"/>
      <c r="J866" s="82">
        <f t="shared" si="72"/>
        <v>0</v>
      </c>
      <c r="K866" s="30"/>
      <c r="L866" s="83" t="str">
        <f t="shared" si="73"/>
        <v/>
      </c>
      <c r="M866" s="23"/>
      <c r="Q866" s="12"/>
      <c r="S866"/>
    </row>
    <row r="867" spans="1:19" x14ac:dyDescent="0.25">
      <c r="A867" s="12" t="str">
        <f t="shared" si="71"/>
        <v/>
      </c>
      <c r="B867" s="16"/>
      <c r="C867" s="17"/>
      <c r="D867" s="18"/>
      <c r="E867" s="29"/>
      <c r="F867" s="39"/>
      <c r="G867" s="40"/>
      <c r="H867" s="41"/>
      <c r="I867" s="42"/>
      <c r="J867" s="82">
        <f t="shared" si="72"/>
        <v>0</v>
      </c>
      <c r="K867" s="43"/>
      <c r="L867" s="83" t="str">
        <f t="shared" si="73"/>
        <v/>
      </c>
      <c r="M867" s="53"/>
      <c r="Q867" s="12"/>
      <c r="S867"/>
    </row>
    <row r="868" spans="1:19" x14ac:dyDescent="0.25">
      <c r="A868" s="12" t="str">
        <f t="shared" si="71"/>
        <v/>
      </c>
      <c r="B868" s="16"/>
      <c r="C868" s="17"/>
      <c r="D868" s="18"/>
      <c r="E868" s="29"/>
      <c r="F868" s="27"/>
      <c r="G868" s="28"/>
      <c r="H868" s="19"/>
      <c r="I868" s="23"/>
      <c r="J868" s="82">
        <f t="shared" si="72"/>
        <v>0</v>
      </c>
      <c r="K868" s="30"/>
      <c r="L868" s="83" t="str">
        <f t="shared" si="73"/>
        <v/>
      </c>
      <c r="M868" s="23"/>
      <c r="Q868" s="12"/>
      <c r="S868"/>
    </row>
    <row r="869" spans="1:19" x14ac:dyDescent="0.25">
      <c r="A869" s="12" t="str">
        <f t="shared" si="71"/>
        <v/>
      </c>
      <c r="B869" s="16"/>
      <c r="C869" s="17"/>
      <c r="D869" s="18"/>
      <c r="E869" s="29"/>
      <c r="F869" s="39"/>
      <c r="G869" s="40"/>
      <c r="H869" s="41"/>
      <c r="I869" s="42"/>
      <c r="J869" s="82">
        <f t="shared" si="72"/>
        <v>0</v>
      </c>
      <c r="K869" s="43"/>
      <c r="L869" s="83" t="str">
        <f t="shared" si="73"/>
        <v/>
      </c>
      <c r="M869" s="53"/>
      <c r="Q869" s="12"/>
      <c r="S869"/>
    </row>
    <row r="870" spans="1:19" x14ac:dyDescent="0.25">
      <c r="A870" s="12" t="str">
        <f t="shared" si="71"/>
        <v/>
      </c>
      <c r="B870" s="16"/>
      <c r="C870" s="17"/>
      <c r="D870" s="18"/>
      <c r="E870" s="29"/>
      <c r="F870" s="27"/>
      <c r="G870" s="28"/>
      <c r="H870" s="19"/>
      <c r="I870" s="23"/>
      <c r="J870" s="82">
        <f t="shared" si="72"/>
        <v>0</v>
      </c>
      <c r="K870" s="30"/>
      <c r="L870" s="83" t="str">
        <f t="shared" si="73"/>
        <v/>
      </c>
      <c r="M870" s="23"/>
      <c r="Q870" s="12"/>
      <c r="S870"/>
    </row>
    <row r="871" spans="1:19" x14ac:dyDescent="0.25">
      <c r="A871" s="12" t="str">
        <f t="shared" si="71"/>
        <v/>
      </c>
      <c r="B871" s="16"/>
      <c r="C871" s="17"/>
      <c r="D871" s="18"/>
      <c r="E871" s="29"/>
      <c r="F871" s="39"/>
      <c r="G871" s="40"/>
      <c r="H871" s="41"/>
      <c r="I871" s="42"/>
      <c r="J871" s="82">
        <f t="shared" si="72"/>
        <v>0</v>
      </c>
      <c r="K871" s="43"/>
      <c r="L871" s="83" t="str">
        <f t="shared" si="73"/>
        <v/>
      </c>
      <c r="M871" s="53"/>
      <c r="Q871" s="12"/>
      <c r="S871"/>
    </row>
    <row r="872" spans="1:19" x14ac:dyDescent="0.25">
      <c r="A872" s="12" t="str">
        <f t="shared" si="71"/>
        <v/>
      </c>
      <c r="B872" s="16"/>
      <c r="C872" s="17"/>
      <c r="D872" s="18"/>
      <c r="E872" s="29"/>
      <c r="F872" s="27"/>
      <c r="G872" s="28"/>
      <c r="H872" s="19"/>
      <c r="I872" s="23"/>
      <c r="J872" s="82">
        <f t="shared" si="72"/>
        <v>0</v>
      </c>
      <c r="K872" s="30"/>
      <c r="L872" s="83" t="str">
        <f t="shared" si="73"/>
        <v/>
      </c>
      <c r="M872" s="23"/>
      <c r="Q872" s="12"/>
      <c r="S872"/>
    </row>
    <row r="873" spans="1:19" x14ac:dyDescent="0.25">
      <c r="A873" s="12" t="str">
        <f t="shared" si="71"/>
        <v/>
      </c>
      <c r="B873" s="16"/>
      <c r="C873" s="17"/>
      <c r="D873" s="18"/>
      <c r="E873" s="29"/>
      <c r="F873" s="39"/>
      <c r="G873" s="40"/>
      <c r="H873" s="41"/>
      <c r="I873" s="42"/>
      <c r="J873" s="82">
        <f t="shared" si="72"/>
        <v>0</v>
      </c>
      <c r="K873" s="43"/>
      <c r="L873" s="83" t="str">
        <f t="shared" si="73"/>
        <v/>
      </c>
      <c r="M873" s="53"/>
      <c r="Q873" s="12"/>
      <c r="S873"/>
    </row>
    <row r="874" spans="1:19" x14ac:dyDescent="0.25">
      <c r="A874" s="12" t="str">
        <f t="shared" si="71"/>
        <v/>
      </c>
      <c r="B874" s="16"/>
      <c r="C874" s="17"/>
      <c r="D874" s="18"/>
      <c r="E874" s="29"/>
      <c r="F874" s="27"/>
      <c r="G874" s="28"/>
      <c r="H874" s="19"/>
      <c r="I874" s="23"/>
      <c r="J874" s="82">
        <f t="shared" si="72"/>
        <v>0</v>
      </c>
      <c r="K874" s="30"/>
      <c r="L874" s="83" t="str">
        <f t="shared" si="73"/>
        <v/>
      </c>
      <c r="M874" s="23"/>
      <c r="Q874" s="12"/>
      <c r="S874"/>
    </row>
    <row r="875" spans="1:19" x14ac:dyDescent="0.25">
      <c r="A875" s="12" t="str">
        <f t="shared" si="71"/>
        <v/>
      </c>
      <c r="B875" s="16"/>
      <c r="C875" s="17"/>
      <c r="D875" s="18"/>
      <c r="E875" s="29"/>
      <c r="F875" s="39"/>
      <c r="G875" s="40"/>
      <c r="H875" s="41"/>
      <c r="I875" s="42"/>
      <c r="J875" s="82">
        <f t="shared" si="72"/>
        <v>0</v>
      </c>
      <c r="K875" s="43"/>
      <c r="L875" s="83" t="str">
        <f t="shared" si="73"/>
        <v/>
      </c>
      <c r="M875" s="53"/>
      <c r="Q875" s="12"/>
      <c r="S875"/>
    </row>
    <row r="876" spans="1:19" x14ac:dyDescent="0.25">
      <c r="A876" s="12" t="str">
        <f t="shared" si="71"/>
        <v/>
      </c>
      <c r="B876" s="16"/>
      <c r="C876" s="17"/>
      <c r="D876" s="18"/>
      <c r="E876" s="29"/>
      <c r="F876" s="27"/>
      <c r="G876" s="28"/>
      <c r="H876" s="19"/>
      <c r="I876" s="23"/>
      <c r="J876" s="82">
        <f t="shared" si="72"/>
        <v>0</v>
      </c>
      <c r="K876" s="30"/>
      <c r="L876" s="83" t="str">
        <f t="shared" si="73"/>
        <v/>
      </c>
      <c r="M876" s="23"/>
      <c r="Q876" s="12"/>
      <c r="S876"/>
    </row>
    <row r="877" spans="1:19" x14ac:dyDescent="0.25">
      <c r="A877" s="12" t="str">
        <f t="shared" si="71"/>
        <v/>
      </c>
      <c r="B877" s="16"/>
      <c r="C877" s="17"/>
      <c r="D877" s="18"/>
      <c r="E877" s="29"/>
      <c r="F877" s="39"/>
      <c r="G877" s="40"/>
      <c r="H877" s="41"/>
      <c r="I877" s="42"/>
      <c r="J877" s="82">
        <f t="shared" si="72"/>
        <v>0</v>
      </c>
      <c r="K877" s="43"/>
      <c r="L877" s="83" t="str">
        <f t="shared" si="73"/>
        <v/>
      </c>
      <c r="M877" s="53"/>
      <c r="Q877" s="12"/>
      <c r="S877"/>
    </row>
    <row r="878" spans="1:19" x14ac:dyDescent="0.25">
      <c r="A878" s="12" t="str">
        <f t="shared" si="71"/>
        <v/>
      </c>
      <c r="B878" s="16"/>
      <c r="C878" s="17"/>
      <c r="D878" s="18"/>
      <c r="E878" s="29"/>
      <c r="F878" s="27"/>
      <c r="G878" s="28"/>
      <c r="H878" s="19"/>
      <c r="I878" s="23"/>
      <c r="J878" s="82">
        <f t="shared" si="72"/>
        <v>0</v>
      </c>
      <c r="K878" s="30"/>
      <c r="L878" s="83" t="str">
        <f t="shared" si="73"/>
        <v/>
      </c>
      <c r="M878" s="23"/>
      <c r="Q878" s="12"/>
      <c r="S878"/>
    </row>
    <row r="879" spans="1:19" x14ac:dyDescent="0.25">
      <c r="A879" s="12" t="str">
        <f t="shared" si="71"/>
        <v/>
      </c>
      <c r="B879" s="16"/>
      <c r="C879" s="17"/>
      <c r="D879" s="18"/>
      <c r="E879" s="29"/>
      <c r="F879" s="39"/>
      <c r="G879" s="40"/>
      <c r="H879" s="41"/>
      <c r="I879" s="42"/>
      <c r="J879" s="82">
        <f t="shared" si="72"/>
        <v>0</v>
      </c>
      <c r="K879" s="43"/>
      <c r="L879" s="83" t="str">
        <f t="shared" si="73"/>
        <v/>
      </c>
      <c r="M879" s="53"/>
      <c r="Q879" s="12"/>
      <c r="S879"/>
    </row>
    <row r="880" spans="1:19" x14ac:dyDescent="0.25">
      <c r="A880" s="12" t="str">
        <f t="shared" si="71"/>
        <v/>
      </c>
      <c r="B880" s="16"/>
      <c r="C880" s="17"/>
      <c r="D880" s="18"/>
      <c r="E880" s="29"/>
      <c r="F880" s="27"/>
      <c r="G880" s="28"/>
      <c r="H880" s="19"/>
      <c r="I880" s="23"/>
      <c r="J880" s="82">
        <f t="shared" si="72"/>
        <v>0</v>
      </c>
      <c r="K880" s="30"/>
      <c r="L880" s="83" t="str">
        <f t="shared" si="73"/>
        <v/>
      </c>
      <c r="M880" s="23"/>
      <c r="Q880" s="12"/>
      <c r="S880"/>
    </row>
    <row r="881" spans="1:19" x14ac:dyDescent="0.25">
      <c r="A881" s="12" t="str">
        <f t="shared" si="71"/>
        <v/>
      </c>
      <c r="B881" s="16"/>
      <c r="C881" s="17"/>
      <c r="D881" s="18"/>
      <c r="E881" s="29"/>
      <c r="F881" s="39"/>
      <c r="G881" s="40"/>
      <c r="H881" s="41"/>
      <c r="I881" s="42"/>
      <c r="J881" s="82">
        <f t="shared" si="72"/>
        <v>0</v>
      </c>
      <c r="K881" s="43"/>
      <c r="L881" s="83" t="str">
        <f t="shared" si="73"/>
        <v/>
      </c>
      <c r="M881" s="53"/>
      <c r="Q881" s="12"/>
      <c r="S881"/>
    </row>
    <row r="882" spans="1:19" x14ac:dyDescent="0.25">
      <c r="A882" s="12" t="str">
        <f t="shared" si="71"/>
        <v/>
      </c>
      <c r="B882" s="16"/>
      <c r="C882" s="17"/>
      <c r="D882" s="18"/>
      <c r="E882" s="29"/>
      <c r="F882" s="27"/>
      <c r="G882" s="28"/>
      <c r="H882" s="19"/>
      <c r="I882" s="23"/>
      <c r="J882" s="82">
        <f t="shared" si="72"/>
        <v>0</v>
      </c>
      <c r="K882" s="30"/>
      <c r="L882" s="83" t="str">
        <f t="shared" si="73"/>
        <v/>
      </c>
      <c r="M882" s="23"/>
      <c r="Q882" s="12"/>
      <c r="S882"/>
    </row>
    <row r="883" spans="1:19" x14ac:dyDescent="0.25">
      <c r="A883" s="12" t="str">
        <f t="shared" si="71"/>
        <v/>
      </c>
      <c r="B883" s="16"/>
      <c r="C883" s="17"/>
      <c r="D883" s="18"/>
      <c r="E883" s="29"/>
      <c r="F883" s="39"/>
      <c r="G883" s="40"/>
      <c r="H883" s="41"/>
      <c r="I883" s="42"/>
      <c r="J883" s="82">
        <f t="shared" si="72"/>
        <v>0</v>
      </c>
      <c r="K883" s="43"/>
      <c r="L883" s="83" t="str">
        <f t="shared" si="73"/>
        <v/>
      </c>
      <c r="M883" s="53"/>
      <c r="Q883" s="12"/>
      <c r="S883"/>
    </row>
    <row r="884" spans="1:19" x14ac:dyDescent="0.25">
      <c r="A884" s="12" t="str">
        <f t="shared" ref="A884:A947" si="74">IFERROR(DATE(B884,C884,D884),"")</f>
        <v/>
      </c>
      <c r="B884" s="16"/>
      <c r="C884" s="17"/>
      <c r="D884" s="18"/>
      <c r="E884" s="29"/>
      <c r="F884" s="27"/>
      <c r="G884" s="28"/>
      <c r="H884" s="19"/>
      <c r="I884" s="23"/>
      <c r="J884" s="82">
        <f t="shared" ref="J884:J947" si="75">IF(E884="entrada",H884*I884,H884*I884*-1)</f>
        <v>0</v>
      </c>
      <c r="K884" s="30"/>
      <c r="L884" s="83" t="str">
        <f t="shared" ref="L884:L947" si="76">IF(J884=0,"",SUM(L883,J884))</f>
        <v/>
      </c>
      <c r="M884" s="23"/>
      <c r="Q884" s="12"/>
      <c r="S884"/>
    </row>
    <row r="885" spans="1:19" x14ac:dyDescent="0.25">
      <c r="A885" s="12" t="str">
        <f t="shared" si="74"/>
        <v/>
      </c>
      <c r="B885" s="16"/>
      <c r="C885" s="17"/>
      <c r="D885" s="18"/>
      <c r="E885" s="29"/>
      <c r="F885" s="39"/>
      <c r="G885" s="40"/>
      <c r="H885" s="41"/>
      <c r="I885" s="42"/>
      <c r="J885" s="82">
        <f t="shared" si="75"/>
        <v>0</v>
      </c>
      <c r="K885" s="43"/>
      <c r="L885" s="83" t="str">
        <f t="shared" si="76"/>
        <v/>
      </c>
      <c r="M885" s="53"/>
      <c r="Q885" s="12"/>
      <c r="S885"/>
    </row>
    <row r="886" spans="1:19" x14ac:dyDescent="0.25">
      <c r="A886" s="12" t="str">
        <f t="shared" si="74"/>
        <v/>
      </c>
      <c r="B886" s="16"/>
      <c r="C886" s="17"/>
      <c r="D886" s="18"/>
      <c r="E886" s="29"/>
      <c r="F886" s="27"/>
      <c r="G886" s="28"/>
      <c r="H886" s="19"/>
      <c r="I886" s="23"/>
      <c r="J886" s="82">
        <f t="shared" si="75"/>
        <v>0</v>
      </c>
      <c r="K886" s="30"/>
      <c r="L886" s="83" t="str">
        <f t="shared" si="76"/>
        <v/>
      </c>
      <c r="M886" s="23"/>
      <c r="Q886" s="12"/>
      <c r="S886"/>
    </row>
    <row r="887" spans="1:19" x14ac:dyDescent="0.25">
      <c r="A887" s="12" t="str">
        <f t="shared" si="74"/>
        <v/>
      </c>
      <c r="B887" s="16"/>
      <c r="C887" s="17"/>
      <c r="D887" s="18"/>
      <c r="E887" s="29"/>
      <c r="F887" s="39"/>
      <c r="G887" s="40"/>
      <c r="H887" s="41"/>
      <c r="I887" s="42"/>
      <c r="J887" s="82">
        <f t="shared" si="75"/>
        <v>0</v>
      </c>
      <c r="K887" s="43"/>
      <c r="L887" s="83" t="str">
        <f t="shared" si="76"/>
        <v/>
      </c>
      <c r="M887" s="53"/>
      <c r="Q887" s="12"/>
      <c r="S887"/>
    </row>
    <row r="888" spans="1:19" x14ac:dyDescent="0.25">
      <c r="A888" s="12" t="str">
        <f t="shared" si="74"/>
        <v/>
      </c>
      <c r="B888" s="16"/>
      <c r="C888" s="17"/>
      <c r="D888" s="18"/>
      <c r="E888" s="29"/>
      <c r="F888" s="27"/>
      <c r="G888" s="28"/>
      <c r="H888" s="19"/>
      <c r="I888" s="23"/>
      <c r="J888" s="82">
        <f t="shared" si="75"/>
        <v>0</v>
      </c>
      <c r="K888" s="30"/>
      <c r="L888" s="83" t="str">
        <f t="shared" si="76"/>
        <v/>
      </c>
      <c r="M888" s="23"/>
      <c r="Q888" s="12"/>
      <c r="S888"/>
    </row>
    <row r="889" spans="1:19" x14ac:dyDescent="0.25">
      <c r="A889" s="12" t="str">
        <f t="shared" si="74"/>
        <v/>
      </c>
      <c r="B889" s="16"/>
      <c r="C889" s="17"/>
      <c r="D889" s="18"/>
      <c r="E889" s="29"/>
      <c r="F889" s="39"/>
      <c r="G889" s="40"/>
      <c r="H889" s="41"/>
      <c r="I889" s="42"/>
      <c r="J889" s="82">
        <f t="shared" si="75"/>
        <v>0</v>
      </c>
      <c r="K889" s="43"/>
      <c r="L889" s="83" t="str">
        <f t="shared" si="76"/>
        <v/>
      </c>
      <c r="M889" s="53"/>
      <c r="Q889" s="12"/>
      <c r="S889"/>
    </row>
    <row r="890" spans="1:19" x14ac:dyDescent="0.25">
      <c r="A890" s="12" t="str">
        <f t="shared" si="74"/>
        <v/>
      </c>
      <c r="B890" s="16"/>
      <c r="C890" s="17"/>
      <c r="D890" s="18"/>
      <c r="E890" s="29"/>
      <c r="F890" s="27"/>
      <c r="G890" s="28"/>
      <c r="H890" s="19"/>
      <c r="I890" s="23"/>
      <c r="J890" s="82">
        <f t="shared" si="75"/>
        <v>0</v>
      </c>
      <c r="K890" s="30"/>
      <c r="L890" s="83" t="str">
        <f t="shared" si="76"/>
        <v/>
      </c>
      <c r="M890" s="23"/>
      <c r="Q890" s="12"/>
      <c r="S890"/>
    </row>
    <row r="891" spans="1:19" x14ac:dyDescent="0.25">
      <c r="A891" s="12" t="str">
        <f t="shared" si="74"/>
        <v/>
      </c>
      <c r="B891" s="16"/>
      <c r="C891" s="17"/>
      <c r="D891" s="18"/>
      <c r="E891" s="29"/>
      <c r="F891" s="39"/>
      <c r="G891" s="40"/>
      <c r="H891" s="41"/>
      <c r="I891" s="42"/>
      <c r="J891" s="82">
        <f t="shared" si="75"/>
        <v>0</v>
      </c>
      <c r="K891" s="43"/>
      <c r="L891" s="83" t="str">
        <f t="shared" si="76"/>
        <v/>
      </c>
      <c r="M891" s="53"/>
      <c r="Q891" s="12"/>
      <c r="S891"/>
    </row>
    <row r="892" spans="1:19" x14ac:dyDescent="0.25">
      <c r="A892" s="12" t="str">
        <f t="shared" si="74"/>
        <v/>
      </c>
      <c r="B892" s="16"/>
      <c r="C892" s="17"/>
      <c r="D892" s="18"/>
      <c r="E892" s="29"/>
      <c r="F892" s="27"/>
      <c r="G892" s="28"/>
      <c r="H892" s="19"/>
      <c r="I892" s="23"/>
      <c r="J892" s="82">
        <f t="shared" si="75"/>
        <v>0</v>
      </c>
      <c r="K892" s="30"/>
      <c r="L892" s="83" t="str">
        <f t="shared" si="76"/>
        <v/>
      </c>
      <c r="M892" s="23"/>
      <c r="Q892" s="12"/>
      <c r="S892"/>
    </row>
    <row r="893" spans="1:19" x14ac:dyDescent="0.25">
      <c r="A893" s="12" t="str">
        <f t="shared" si="74"/>
        <v/>
      </c>
      <c r="B893" s="16"/>
      <c r="C893" s="17"/>
      <c r="D893" s="18"/>
      <c r="E893" s="29"/>
      <c r="F893" s="39"/>
      <c r="G893" s="40"/>
      <c r="H893" s="41"/>
      <c r="I893" s="42"/>
      <c r="J893" s="82">
        <f t="shared" si="75"/>
        <v>0</v>
      </c>
      <c r="K893" s="43"/>
      <c r="L893" s="83" t="str">
        <f t="shared" si="76"/>
        <v/>
      </c>
      <c r="M893" s="53"/>
      <c r="Q893" s="12"/>
      <c r="S893"/>
    </row>
    <row r="894" spans="1:19" x14ac:dyDescent="0.25">
      <c r="A894" s="12" t="str">
        <f t="shared" si="74"/>
        <v/>
      </c>
      <c r="B894" s="16"/>
      <c r="C894" s="17"/>
      <c r="D894" s="18"/>
      <c r="E894" s="29"/>
      <c r="F894" s="27"/>
      <c r="G894" s="28"/>
      <c r="H894" s="19"/>
      <c r="I894" s="23"/>
      <c r="J894" s="82">
        <f t="shared" si="75"/>
        <v>0</v>
      </c>
      <c r="K894" s="30"/>
      <c r="L894" s="83" t="str">
        <f t="shared" si="76"/>
        <v/>
      </c>
      <c r="M894" s="23"/>
      <c r="Q894" s="12"/>
      <c r="S894"/>
    </row>
    <row r="895" spans="1:19" x14ac:dyDescent="0.25">
      <c r="A895" s="12" t="str">
        <f t="shared" si="74"/>
        <v/>
      </c>
      <c r="B895" s="16"/>
      <c r="C895" s="17"/>
      <c r="D895" s="18"/>
      <c r="E895" s="29"/>
      <c r="F895" s="39"/>
      <c r="G895" s="40"/>
      <c r="H895" s="41"/>
      <c r="I895" s="42"/>
      <c r="J895" s="82">
        <f t="shared" si="75"/>
        <v>0</v>
      </c>
      <c r="K895" s="43"/>
      <c r="L895" s="83" t="str">
        <f t="shared" si="76"/>
        <v/>
      </c>
      <c r="M895" s="53"/>
      <c r="Q895" s="12"/>
      <c r="S895"/>
    </row>
    <row r="896" spans="1:19" x14ac:dyDescent="0.25">
      <c r="A896" s="12" t="str">
        <f t="shared" si="74"/>
        <v/>
      </c>
      <c r="B896" s="16"/>
      <c r="C896" s="17"/>
      <c r="D896" s="18"/>
      <c r="E896" s="29"/>
      <c r="F896" s="27"/>
      <c r="G896" s="28"/>
      <c r="H896" s="19"/>
      <c r="I896" s="23"/>
      <c r="J896" s="82">
        <f t="shared" si="75"/>
        <v>0</v>
      </c>
      <c r="K896" s="30"/>
      <c r="L896" s="83" t="str">
        <f t="shared" si="76"/>
        <v/>
      </c>
      <c r="M896" s="23"/>
      <c r="Q896" s="12"/>
      <c r="S896"/>
    </row>
    <row r="897" spans="1:19" x14ac:dyDescent="0.25">
      <c r="A897" s="12" t="str">
        <f t="shared" si="74"/>
        <v/>
      </c>
      <c r="B897" s="16"/>
      <c r="C897" s="17"/>
      <c r="D897" s="18"/>
      <c r="E897" s="29"/>
      <c r="F897" s="39"/>
      <c r="G897" s="40"/>
      <c r="H897" s="41"/>
      <c r="I897" s="42"/>
      <c r="J897" s="82">
        <f t="shared" si="75"/>
        <v>0</v>
      </c>
      <c r="K897" s="43"/>
      <c r="L897" s="83" t="str">
        <f t="shared" si="76"/>
        <v/>
      </c>
      <c r="M897" s="53"/>
      <c r="Q897" s="12"/>
      <c r="S897"/>
    </row>
    <row r="898" spans="1:19" x14ac:dyDescent="0.25">
      <c r="A898" s="12" t="str">
        <f t="shared" si="74"/>
        <v/>
      </c>
      <c r="B898" s="16"/>
      <c r="C898" s="17"/>
      <c r="D898" s="18"/>
      <c r="E898" s="29"/>
      <c r="F898" s="27"/>
      <c r="G898" s="28"/>
      <c r="H898" s="19"/>
      <c r="I898" s="23"/>
      <c r="J898" s="82">
        <f t="shared" si="75"/>
        <v>0</v>
      </c>
      <c r="K898" s="30"/>
      <c r="L898" s="83" t="str">
        <f t="shared" si="76"/>
        <v/>
      </c>
      <c r="M898" s="23"/>
      <c r="Q898" s="12"/>
      <c r="S898"/>
    </row>
    <row r="899" spans="1:19" x14ac:dyDescent="0.25">
      <c r="A899" s="12" t="str">
        <f t="shared" si="74"/>
        <v/>
      </c>
      <c r="B899" s="16"/>
      <c r="C899" s="17"/>
      <c r="D899" s="18"/>
      <c r="E899" s="29"/>
      <c r="F899" s="39"/>
      <c r="G899" s="40"/>
      <c r="H899" s="41"/>
      <c r="I899" s="42"/>
      <c r="J899" s="82">
        <f t="shared" si="75"/>
        <v>0</v>
      </c>
      <c r="K899" s="43"/>
      <c r="L899" s="83" t="str">
        <f t="shared" si="76"/>
        <v/>
      </c>
      <c r="M899" s="53"/>
      <c r="Q899" s="12"/>
      <c r="S899"/>
    </row>
    <row r="900" spans="1:19" x14ac:dyDescent="0.25">
      <c r="A900" s="12" t="str">
        <f t="shared" si="74"/>
        <v/>
      </c>
      <c r="B900" s="16"/>
      <c r="C900" s="17"/>
      <c r="D900" s="18"/>
      <c r="E900" s="29"/>
      <c r="F900" s="27"/>
      <c r="G900" s="28"/>
      <c r="H900" s="19"/>
      <c r="I900" s="23"/>
      <c r="J900" s="82">
        <f t="shared" si="75"/>
        <v>0</v>
      </c>
      <c r="K900" s="30"/>
      <c r="L900" s="83" t="str">
        <f t="shared" si="76"/>
        <v/>
      </c>
      <c r="M900" s="23"/>
      <c r="Q900" s="12"/>
      <c r="S900"/>
    </row>
    <row r="901" spans="1:19" x14ac:dyDescent="0.25">
      <c r="A901" s="12" t="str">
        <f t="shared" si="74"/>
        <v/>
      </c>
      <c r="B901" s="16"/>
      <c r="C901" s="17"/>
      <c r="D901" s="18"/>
      <c r="E901" s="29"/>
      <c r="F901" s="39"/>
      <c r="G901" s="40"/>
      <c r="H901" s="41"/>
      <c r="I901" s="42"/>
      <c r="J901" s="82">
        <f t="shared" si="75"/>
        <v>0</v>
      </c>
      <c r="K901" s="43"/>
      <c r="L901" s="83" t="str">
        <f t="shared" si="76"/>
        <v/>
      </c>
      <c r="M901" s="53"/>
      <c r="Q901" s="12"/>
      <c r="S901"/>
    </row>
    <row r="902" spans="1:19" x14ac:dyDescent="0.25">
      <c r="A902" s="12" t="str">
        <f t="shared" si="74"/>
        <v/>
      </c>
      <c r="B902" s="16"/>
      <c r="C902" s="17"/>
      <c r="D902" s="18"/>
      <c r="E902" s="29"/>
      <c r="F902" s="27"/>
      <c r="G902" s="28"/>
      <c r="H902" s="19"/>
      <c r="I902" s="23"/>
      <c r="J902" s="82">
        <f t="shared" si="75"/>
        <v>0</v>
      </c>
      <c r="K902" s="30"/>
      <c r="L902" s="83" t="str">
        <f t="shared" si="76"/>
        <v/>
      </c>
      <c r="M902" s="23"/>
      <c r="Q902" s="12"/>
      <c r="S902"/>
    </row>
    <row r="903" spans="1:19" x14ac:dyDescent="0.25">
      <c r="A903" s="12" t="str">
        <f t="shared" si="74"/>
        <v/>
      </c>
      <c r="B903" s="16"/>
      <c r="C903" s="17"/>
      <c r="D903" s="18"/>
      <c r="E903" s="29"/>
      <c r="F903" s="39"/>
      <c r="G903" s="40"/>
      <c r="H903" s="41"/>
      <c r="I903" s="42"/>
      <c r="J903" s="82">
        <f t="shared" si="75"/>
        <v>0</v>
      </c>
      <c r="K903" s="43"/>
      <c r="L903" s="83" t="str">
        <f t="shared" si="76"/>
        <v/>
      </c>
      <c r="M903" s="53"/>
      <c r="Q903" s="12"/>
      <c r="S903"/>
    </row>
    <row r="904" spans="1:19" x14ac:dyDescent="0.25">
      <c r="A904" s="12" t="str">
        <f t="shared" si="74"/>
        <v/>
      </c>
      <c r="B904" s="16"/>
      <c r="C904" s="17"/>
      <c r="D904" s="18"/>
      <c r="E904" s="29"/>
      <c r="F904" s="27"/>
      <c r="G904" s="28"/>
      <c r="H904" s="19"/>
      <c r="I904" s="23"/>
      <c r="J904" s="82">
        <f t="shared" si="75"/>
        <v>0</v>
      </c>
      <c r="K904" s="30"/>
      <c r="L904" s="83" t="str">
        <f t="shared" si="76"/>
        <v/>
      </c>
      <c r="M904" s="23"/>
      <c r="Q904" s="12"/>
      <c r="S904"/>
    </row>
    <row r="905" spans="1:19" x14ac:dyDescent="0.25">
      <c r="A905" s="12" t="str">
        <f t="shared" si="74"/>
        <v/>
      </c>
      <c r="B905" s="16"/>
      <c r="C905" s="17"/>
      <c r="D905" s="18"/>
      <c r="E905" s="29"/>
      <c r="F905" s="39"/>
      <c r="G905" s="40"/>
      <c r="H905" s="41"/>
      <c r="I905" s="42"/>
      <c r="J905" s="82">
        <f t="shared" si="75"/>
        <v>0</v>
      </c>
      <c r="K905" s="43"/>
      <c r="L905" s="83" t="str">
        <f t="shared" si="76"/>
        <v/>
      </c>
      <c r="M905" s="53"/>
      <c r="Q905" s="12"/>
      <c r="S905"/>
    </row>
    <row r="906" spans="1:19" x14ac:dyDescent="0.25">
      <c r="A906" s="12" t="str">
        <f t="shared" si="74"/>
        <v/>
      </c>
      <c r="B906" s="16"/>
      <c r="C906" s="17"/>
      <c r="D906" s="18"/>
      <c r="E906" s="29"/>
      <c r="F906" s="27"/>
      <c r="G906" s="28"/>
      <c r="H906" s="19"/>
      <c r="I906" s="23"/>
      <c r="J906" s="82">
        <f t="shared" si="75"/>
        <v>0</v>
      </c>
      <c r="K906" s="30"/>
      <c r="L906" s="83" t="str">
        <f t="shared" si="76"/>
        <v/>
      </c>
      <c r="M906" s="23"/>
      <c r="Q906" s="12"/>
      <c r="S906"/>
    </row>
    <row r="907" spans="1:19" x14ac:dyDescent="0.25">
      <c r="A907" s="12" t="str">
        <f t="shared" si="74"/>
        <v/>
      </c>
      <c r="B907" s="16"/>
      <c r="C907" s="17"/>
      <c r="D907" s="18"/>
      <c r="E907" s="29"/>
      <c r="F907" s="39"/>
      <c r="G907" s="40"/>
      <c r="H907" s="41"/>
      <c r="I907" s="42"/>
      <c r="J907" s="82">
        <f t="shared" si="75"/>
        <v>0</v>
      </c>
      <c r="K907" s="43"/>
      <c r="L907" s="83" t="str">
        <f t="shared" si="76"/>
        <v/>
      </c>
      <c r="M907" s="53"/>
      <c r="Q907" s="12"/>
      <c r="S907"/>
    </row>
    <row r="908" spans="1:19" x14ac:dyDescent="0.25">
      <c r="A908" s="12" t="str">
        <f t="shared" si="74"/>
        <v/>
      </c>
      <c r="B908" s="16"/>
      <c r="C908" s="17"/>
      <c r="D908" s="18"/>
      <c r="E908" s="29"/>
      <c r="F908" s="27"/>
      <c r="G908" s="28"/>
      <c r="H908" s="19"/>
      <c r="I908" s="23"/>
      <c r="J908" s="82">
        <f t="shared" si="75"/>
        <v>0</v>
      </c>
      <c r="K908" s="30"/>
      <c r="L908" s="83" t="str">
        <f t="shared" si="76"/>
        <v/>
      </c>
      <c r="M908" s="23"/>
      <c r="Q908" s="12"/>
      <c r="S908"/>
    </row>
    <row r="909" spans="1:19" x14ac:dyDescent="0.25">
      <c r="A909" s="12" t="str">
        <f t="shared" si="74"/>
        <v/>
      </c>
      <c r="B909" s="16"/>
      <c r="C909" s="17"/>
      <c r="D909" s="18"/>
      <c r="E909" s="29"/>
      <c r="F909" s="39"/>
      <c r="G909" s="40"/>
      <c r="H909" s="41"/>
      <c r="I909" s="42"/>
      <c r="J909" s="82">
        <f t="shared" si="75"/>
        <v>0</v>
      </c>
      <c r="K909" s="43"/>
      <c r="L909" s="83" t="str">
        <f t="shared" si="76"/>
        <v/>
      </c>
      <c r="M909" s="53"/>
      <c r="Q909" s="12"/>
      <c r="S909"/>
    </row>
    <row r="910" spans="1:19" x14ac:dyDescent="0.25">
      <c r="A910" s="12" t="str">
        <f t="shared" si="74"/>
        <v/>
      </c>
      <c r="B910" s="16"/>
      <c r="C910" s="17"/>
      <c r="D910" s="18"/>
      <c r="E910" s="29"/>
      <c r="F910" s="27"/>
      <c r="G910" s="28"/>
      <c r="H910" s="19"/>
      <c r="I910" s="23"/>
      <c r="J910" s="82">
        <f t="shared" si="75"/>
        <v>0</v>
      </c>
      <c r="K910" s="30"/>
      <c r="L910" s="83" t="str">
        <f t="shared" si="76"/>
        <v/>
      </c>
      <c r="M910" s="23"/>
      <c r="Q910" s="12"/>
      <c r="S910"/>
    </row>
    <row r="911" spans="1:19" x14ac:dyDescent="0.25">
      <c r="A911" s="12" t="str">
        <f t="shared" si="74"/>
        <v/>
      </c>
      <c r="B911" s="16"/>
      <c r="C911" s="17"/>
      <c r="D911" s="18"/>
      <c r="E911" s="29"/>
      <c r="F911" s="39"/>
      <c r="G911" s="40"/>
      <c r="H911" s="41"/>
      <c r="I911" s="42"/>
      <c r="J911" s="82">
        <f t="shared" si="75"/>
        <v>0</v>
      </c>
      <c r="K911" s="43"/>
      <c r="L911" s="83" t="str">
        <f t="shared" si="76"/>
        <v/>
      </c>
      <c r="M911" s="53"/>
      <c r="Q911" s="12"/>
      <c r="S911"/>
    </row>
    <row r="912" spans="1:19" x14ac:dyDescent="0.25">
      <c r="A912" s="12" t="str">
        <f t="shared" si="74"/>
        <v/>
      </c>
      <c r="B912" s="16"/>
      <c r="C912" s="17"/>
      <c r="D912" s="18"/>
      <c r="E912" s="29"/>
      <c r="F912" s="27"/>
      <c r="G912" s="28"/>
      <c r="H912" s="19"/>
      <c r="I912" s="23"/>
      <c r="J912" s="82">
        <f t="shared" si="75"/>
        <v>0</v>
      </c>
      <c r="K912" s="30"/>
      <c r="L912" s="83" t="str">
        <f t="shared" si="76"/>
        <v/>
      </c>
      <c r="M912" s="23"/>
      <c r="Q912" s="12"/>
      <c r="S912"/>
    </row>
    <row r="913" spans="1:19" x14ac:dyDescent="0.25">
      <c r="A913" s="12" t="str">
        <f t="shared" si="74"/>
        <v/>
      </c>
      <c r="B913" s="16"/>
      <c r="C913" s="17"/>
      <c r="D913" s="18"/>
      <c r="E913" s="29"/>
      <c r="F913" s="39"/>
      <c r="G913" s="40"/>
      <c r="H913" s="41"/>
      <c r="I913" s="42"/>
      <c r="J913" s="82">
        <f t="shared" si="75"/>
        <v>0</v>
      </c>
      <c r="K913" s="43"/>
      <c r="L913" s="83" t="str">
        <f t="shared" si="76"/>
        <v/>
      </c>
      <c r="M913" s="53"/>
      <c r="Q913" s="12"/>
      <c r="S913"/>
    </row>
    <row r="914" spans="1:19" x14ac:dyDescent="0.25">
      <c r="A914" s="12" t="str">
        <f t="shared" si="74"/>
        <v/>
      </c>
      <c r="B914" s="16"/>
      <c r="C914" s="17"/>
      <c r="D914" s="18"/>
      <c r="E914" s="29"/>
      <c r="F914" s="27"/>
      <c r="G914" s="28"/>
      <c r="H914" s="19"/>
      <c r="I914" s="23"/>
      <c r="J914" s="82">
        <f t="shared" si="75"/>
        <v>0</v>
      </c>
      <c r="K914" s="30"/>
      <c r="L914" s="83" t="str">
        <f t="shared" si="76"/>
        <v/>
      </c>
      <c r="M914" s="23"/>
      <c r="Q914" s="12"/>
      <c r="S914"/>
    </row>
    <row r="915" spans="1:19" x14ac:dyDescent="0.25">
      <c r="A915" s="12" t="str">
        <f t="shared" si="74"/>
        <v/>
      </c>
      <c r="B915" s="16"/>
      <c r="C915" s="17"/>
      <c r="D915" s="18"/>
      <c r="E915" s="29"/>
      <c r="F915" s="39"/>
      <c r="G915" s="40"/>
      <c r="H915" s="41"/>
      <c r="I915" s="42"/>
      <c r="J915" s="82">
        <f t="shared" si="75"/>
        <v>0</v>
      </c>
      <c r="K915" s="43"/>
      <c r="L915" s="83" t="str">
        <f t="shared" si="76"/>
        <v/>
      </c>
      <c r="M915" s="53"/>
      <c r="Q915" s="12"/>
      <c r="S915"/>
    </row>
    <row r="916" spans="1:19" x14ac:dyDescent="0.25">
      <c r="A916" s="12" t="str">
        <f t="shared" si="74"/>
        <v/>
      </c>
      <c r="B916" s="16"/>
      <c r="C916" s="17"/>
      <c r="D916" s="18"/>
      <c r="E916" s="29"/>
      <c r="F916" s="27"/>
      <c r="G916" s="28"/>
      <c r="H916" s="19"/>
      <c r="I916" s="23"/>
      <c r="J916" s="82">
        <f t="shared" si="75"/>
        <v>0</v>
      </c>
      <c r="K916" s="30"/>
      <c r="L916" s="83" t="str">
        <f t="shared" si="76"/>
        <v/>
      </c>
      <c r="M916" s="23"/>
      <c r="Q916" s="12"/>
      <c r="S916"/>
    </row>
    <row r="917" spans="1:19" x14ac:dyDescent="0.25">
      <c r="A917" s="12" t="str">
        <f t="shared" si="74"/>
        <v/>
      </c>
      <c r="B917" s="16"/>
      <c r="C917" s="17"/>
      <c r="D917" s="18"/>
      <c r="E917" s="29"/>
      <c r="F917" s="39"/>
      <c r="G917" s="40"/>
      <c r="H917" s="41"/>
      <c r="I917" s="42"/>
      <c r="J917" s="82">
        <f t="shared" si="75"/>
        <v>0</v>
      </c>
      <c r="K917" s="43"/>
      <c r="L917" s="83" t="str">
        <f t="shared" si="76"/>
        <v/>
      </c>
      <c r="M917" s="53"/>
      <c r="Q917" s="12"/>
      <c r="S917"/>
    </row>
    <row r="918" spans="1:19" x14ac:dyDescent="0.25">
      <c r="A918" s="12" t="str">
        <f t="shared" si="74"/>
        <v/>
      </c>
      <c r="B918" s="16"/>
      <c r="C918" s="17"/>
      <c r="D918" s="18"/>
      <c r="E918" s="29"/>
      <c r="F918" s="27"/>
      <c r="G918" s="28"/>
      <c r="H918" s="19"/>
      <c r="I918" s="23"/>
      <c r="J918" s="82">
        <f t="shared" si="75"/>
        <v>0</v>
      </c>
      <c r="K918" s="30"/>
      <c r="L918" s="83" t="str">
        <f t="shared" si="76"/>
        <v/>
      </c>
      <c r="M918" s="23"/>
      <c r="Q918" s="12"/>
      <c r="S918"/>
    </row>
    <row r="919" spans="1:19" x14ac:dyDescent="0.25">
      <c r="A919" s="12" t="str">
        <f t="shared" si="74"/>
        <v/>
      </c>
      <c r="B919" s="16"/>
      <c r="C919" s="17"/>
      <c r="D919" s="18"/>
      <c r="E919" s="29"/>
      <c r="F919" s="39"/>
      <c r="G919" s="40"/>
      <c r="H919" s="41"/>
      <c r="I919" s="42"/>
      <c r="J919" s="82">
        <f t="shared" si="75"/>
        <v>0</v>
      </c>
      <c r="K919" s="43"/>
      <c r="L919" s="83" t="str">
        <f t="shared" si="76"/>
        <v/>
      </c>
      <c r="M919" s="53"/>
      <c r="Q919" s="12"/>
      <c r="S919"/>
    </row>
    <row r="920" spans="1:19" x14ac:dyDescent="0.25">
      <c r="A920" s="12" t="str">
        <f t="shared" si="74"/>
        <v/>
      </c>
      <c r="B920" s="16"/>
      <c r="C920" s="17"/>
      <c r="D920" s="18"/>
      <c r="E920" s="29"/>
      <c r="F920" s="27"/>
      <c r="G920" s="28"/>
      <c r="H920" s="19"/>
      <c r="I920" s="23"/>
      <c r="J920" s="82">
        <f t="shared" si="75"/>
        <v>0</v>
      </c>
      <c r="K920" s="30"/>
      <c r="L920" s="83" t="str">
        <f t="shared" si="76"/>
        <v/>
      </c>
      <c r="M920" s="23"/>
      <c r="Q920" s="12"/>
      <c r="S920"/>
    </row>
    <row r="921" spans="1:19" x14ac:dyDescent="0.25">
      <c r="A921" s="12" t="str">
        <f t="shared" si="74"/>
        <v/>
      </c>
      <c r="B921" s="16"/>
      <c r="C921" s="17"/>
      <c r="D921" s="18"/>
      <c r="E921" s="29"/>
      <c r="F921" s="39"/>
      <c r="G921" s="40"/>
      <c r="H921" s="41"/>
      <c r="I921" s="42"/>
      <c r="J921" s="82">
        <f t="shared" si="75"/>
        <v>0</v>
      </c>
      <c r="K921" s="43"/>
      <c r="L921" s="83" t="str">
        <f t="shared" si="76"/>
        <v/>
      </c>
      <c r="M921" s="53"/>
      <c r="Q921" s="12"/>
      <c r="S921"/>
    </row>
    <row r="922" spans="1:19" x14ac:dyDescent="0.25">
      <c r="A922" s="12" t="str">
        <f t="shared" si="74"/>
        <v/>
      </c>
      <c r="B922" s="16"/>
      <c r="C922" s="17"/>
      <c r="D922" s="18"/>
      <c r="E922" s="29"/>
      <c r="F922" s="27"/>
      <c r="G922" s="28"/>
      <c r="H922" s="19"/>
      <c r="I922" s="23"/>
      <c r="J922" s="82">
        <f t="shared" si="75"/>
        <v>0</v>
      </c>
      <c r="K922" s="30"/>
      <c r="L922" s="83" t="str">
        <f t="shared" si="76"/>
        <v/>
      </c>
      <c r="M922" s="23"/>
      <c r="Q922" s="12"/>
      <c r="S922"/>
    </row>
    <row r="923" spans="1:19" x14ac:dyDescent="0.25">
      <c r="A923" s="12" t="str">
        <f t="shared" si="74"/>
        <v/>
      </c>
      <c r="B923" s="16"/>
      <c r="C923" s="17"/>
      <c r="D923" s="18"/>
      <c r="E923" s="29"/>
      <c r="F923" s="39"/>
      <c r="G923" s="40"/>
      <c r="H923" s="41"/>
      <c r="I923" s="42"/>
      <c r="J923" s="82">
        <f t="shared" si="75"/>
        <v>0</v>
      </c>
      <c r="K923" s="43"/>
      <c r="L923" s="83" t="str">
        <f t="shared" si="76"/>
        <v/>
      </c>
      <c r="M923" s="53"/>
      <c r="Q923" s="12"/>
      <c r="S923"/>
    </row>
    <row r="924" spans="1:19" x14ac:dyDescent="0.25">
      <c r="A924" s="12" t="str">
        <f t="shared" si="74"/>
        <v/>
      </c>
      <c r="B924" s="16"/>
      <c r="C924" s="17"/>
      <c r="D924" s="18"/>
      <c r="E924" s="29"/>
      <c r="F924" s="27"/>
      <c r="G924" s="28"/>
      <c r="H924" s="19"/>
      <c r="I924" s="23"/>
      <c r="J924" s="82">
        <f t="shared" si="75"/>
        <v>0</v>
      </c>
      <c r="K924" s="30"/>
      <c r="L924" s="83" t="str">
        <f t="shared" si="76"/>
        <v/>
      </c>
      <c r="M924" s="23"/>
      <c r="Q924" s="12"/>
      <c r="S924"/>
    </row>
    <row r="925" spans="1:19" x14ac:dyDescent="0.25">
      <c r="A925" s="12" t="str">
        <f t="shared" si="74"/>
        <v/>
      </c>
      <c r="B925" s="16"/>
      <c r="C925" s="17"/>
      <c r="D925" s="18"/>
      <c r="E925" s="29"/>
      <c r="F925" s="39"/>
      <c r="G925" s="40"/>
      <c r="H925" s="41"/>
      <c r="I925" s="42"/>
      <c r="J925" s="82">
        <f t="shared" si="75"/>
        <v>0</v>
      </c>
      <c r="K925" s="43"/>
      <c r="L925" s="83" t="str">
        <f t="shared" si="76"/>
        <v/>
      </c>
      <c r="M925" s="53"/>
      <c r="Q925" s="12"/>
      <c r="S925"/>
    </row>
    <row r="926" spans="1:19" x14ac:dyDescent="0.25">
      <c r="A926" s="12" t="str">
        <f t="shared" si="74"/>
        <v/>
      </c>
      <c r="B926" s="16"/>
      <c r="C926" s="17"/>
      <c r="D926" s="18"/>
      <c r="E926" s="29"/>
      <c r="F926" s="27"/>
      <c r="G926" s="28"/>
      <c r="H926" s="19"/>
      <c r="I926" s="23"/>
      <c r="J926" s="82">
        <f t="shared" si="75"/>
        <v>0</v>
      </c>
      <c r="K926" s="30"/>
      <c r="L926" s="83" t="str">
        <f t="shared" si="76"/>
        <v/>
      </c>
      <c r="M926" s="23"/>
      <c r="Q926" s="12"/>
      <c r="S926"/>
    </row>
    <row r="927" spans="1:19" x14ac:dyDescent="0.25">
      <c r="A927" s="12" t="str">
        <f t="shared" si="74"/>
        <v/>
      </c>
      <c r="B927" s="16"/>
      <c r="C927" s="17"/>
      <c r="D927" s="18"/>
      <c r="E927" s="29"/>
      <c r="F927" s="39"/>
      <c r="G927" s="40"/>
      <c r="H927" s="41"/>
      <c r="I927" s="42"/>
      <c r="J927" s="82">
        <f t="shared" si="75"/>
        <v>0</v>
      </c>
      <c r="K927" s="43"/>
      <c r="L927" s="83" t="str">
        <f t="shared" si="76"/>
        <v/>
      </c>
      <c r="M927" s="53"/>
      <c r="Q927" s="12"/>
      <c r="S927"/>
    </row>
    <row r="928" spans="1:19" x14ac:dyDescent="0.25">
      <c r="A928" s="12" t="str">
        <f t="shared" si="74"/>
        <v/>
      </c>
      <c r="B928" s="16"/>
      <c r="C928" s="17"/>
      <c r="D928" s="18"/>
      <c r="E928" s="29"/>
      <c r="F928" s="27"/>
      <c r="G928" s="28"/>
      <c r="H928" s="19"/>
      <c r="I928" s="23"/>
      <c r="J928" s="82">
        <f t="shared" si="75"/>
        <v>0</v>
      </c>
      <c r="K928" s="30"/>
      <c r="L928" s="83" t="str">
        <f t="shared" si="76"/>
        <v/>
      </c>
      <c r="M928" s="23"/>
      <c r="Q928" s="12"/>
      <c r="S928"/>
    </row>
    <row r="929" spans="1:19" x14ac:dyDescent="0.25">
      <c r="A929" s="12" t="str">
        <f t="shared" si="74"/>
        <v/>
      </c>
      <c r="B929" s="16"/>
      <c r="C929" s="17"/>
      <c r="D929" s="18"/>
      <c r="E929" s="29"/>
      <c r="F929" s="39"/>
      <c r="G929" s="40"/>
      <c r="H929" s="41"/>
      <c r="I929" s="42"/>
      <c r="J929" s="82">
        <f t="shared" si="75"/>
        <v>0</v>
      </c>
      <c r="K929" s="43"/>
      <c r="L929" s="83" t="str">
        <f t="shared" si="76"/>
        <v/>
      </c>
      <c r="M929" s="53"/>
      <c r="Q929" s="12"/>
      <c r="S929"/>
    </row>
    <row r="930" spans="1:19" x14ac:dyDescent="0.25">
      <c r="A930" s="12" t="str">
        <f t="shared" si="74"/>
        <v/>
      </c>
      <c r="B930" s="16"/>
      <c r="C930" s="17"/>
      <c r="D930" s="18"/>
      <c r="E930" s="29"/>
      <c r="F930" s="27"/>
      <c r="G930" s="28"/>
      <c r="H930" s="19"/>
      <c r="I930" s="23"/>
      <c r="J930" s="82">
        <f t="shared" si="75"/>
        <v>0</v>
      </c>
      <c r="K930" s="30"/>
      <c r="L930" s="83" t="str">
        <f t="shared" si="76"/>
        <v/>
      </c>
      <c r="M930" s="23"/>
      <c r="Q930" s="12"/>
      <c r="S930"/>
    </row>
    <row r="931" spans="1:19" x14ac:dyDescent="0.25">
      <c r="A931" s="12" t="str">
        <f t="shared" si="74"/>
        <v/>
      </c>
      <c r="B931" s="16"/>
      <c r="C931" s="17"/>
      <c r="D931" s="18"/>
      <c r="E931" s="29"/>
      <c r="F931" s="39"/>
      <c r="G931" s="40"/>
      <c r="H931" s="41"/>
      <c r="I931" s="42"/>
      <c r="J931" s="82">
        <f t="shared" si="75"/>
        <v>0</v>
      </c>
      <c r="K931" s="43"/>
      <c r="L931" s="83" t="str">
        <f t="shared" si="76"/>
        <v/>
      </c>
      <c r="M931" s="53"/>
      <c r="Q931" s="12"/>
      <c r="S931"/>
    </row>
    <row r="932" spans="1:19" x14ac:dyDescent="0.25">
      <c r="A932" s="12" t="str">
        <f t="shared" si="74"/>
        <v/>
      </c>
      <c r="B932" s="16"/>
      <c r="C932" s="17"/>
      <c r="D932" s="18"/>
      <c r="E932" s="29"/>
      <c r="F932" s="27"/>
      <c r="G932" s="28"/>
      <c r="H932" s="19"/>
      <c r="I932" s="23"/>
      <c r="J932" s="82">
        <f t="shared" si="75"/>
        <v>0</v>
      </c>
      <c r="K932" s="30"/>
      <c r="L932" s="83" t="str">
        <f t="shared" si="76"/>
        <v/>
      </c>
      <c r="M932" s="23"/>
      <c r="Q932" s="12"/>
      <c r="S932"/>
    </row>
    <row r="933" spans="1:19" x14ac:dyDescent="0.25">
      <c r="A933" s="12" t="str">
        <f t="shared" si="74"/>
        <v/>
      </c>
      <c r="B933" s="16"/>
      <c r="C933" s="17"/>
      <c r="D933" s="18"/>
      <c r="E933" s="29"/>
      <c r="F933" s="39"/>
      <c r="G933" s="40"/>
      <c r="H933" s="41"/>
      <c r="I933" s="42"/>
      <c r="J933" s="82">
        <f t="shared" si="75"/>
        <v>0</v>
      </c>
      <c r="K933" s="43"/>
      <c r="L933" s="83" t="str">
        <f t="shared" si="76"/>
        <v/>
      </c>
      <c r="M933" s="53"/>
      <c r="Q933" s="12"/>
      <c r="S933"/>
    </row>
    <row r="934" spans="1:19" x14ac:dyDescent="0.25">
      <c r="A934" s="12" t="str">
        <f t="shared" si="74"/>
        <v/>
      </c>
      <c r="B934" s="16"/>
      <c r="C934" s="17"/>
      <c r="D934" s="18"/>
      <c r="E934" s="29"/>
      <c r="F934" s="27"/>
      <c r="G934" s="28"/>
      <c r="H934" s="19"/>
      <c r="I934" s="23"/>
      <c r="J934" s="82">
        <f t="shared" si="75"/>
        <v>0</v>
      </c>
      <c r="K934" s="30"/>
      <c r="L934" s="83" t="str">
        <f t="shared" si="76"/>
        <v/>
      </c>
      <c r="M934" s="23"/>
      <c r="Q934" s="12"/>
      <c r="S934"/>
    </row>
    <row r="935" spans="1:19" x14ac:dyDescent="0.25">
      <c r="A935" s="12" t="str">
        <f t="shared" si="74"/>
        <v/>
      </c>
      <c r="B935" s="16"/>
      <c r="C935" s="17"/>
      <c r="D935" s="18"/>
      <c r="E935" s="29"/>
      <c r="F935" s="39"/>
      <c r="G935" s="40"/>
      <c r="H935" s="41"/>
      <c r="I935" s="42"/>
      <c r="J935" s="82">
        <f t="shared" si="75"/>
        <v>0</v>
      </c>
      <c r="K935" s="43"/>
      <c r="L935" s="83" t="str">
        <f t="shared" si="76"/>
        <v/>
      </c>
      <c r="M935" s="53"/>
      <c r="Q935" s="12"/>
      <c r="S935"/>
    </row>
    <row r="936" spans="1:19" x14ac:dyDescent="0.25">
      <c r="A936" s="12" t="str">
        <f t="shared" si="74"/>
        <v/>
      </c>
      <c r="B936" s="16"/>
      <c r="C936" s="17"/>
      <c r="D936" s="18"/>
      <c r="E936" s="29"/>
      <c r="F936" s="27"/>
      <c r="G936" s="28"/>
      <c r="H936" s="19"/>
      <c r="I936" s="23"/>
      <c r="J936" s="82">
        <f t="shared" si="75"/>
        <v>0</v>
      </c>
      <c r="K936" s="30"/>
      <c r="L936" s="83" t="str">
        <f t="shared" si="76"/>
        <v/>
      </c>
      <c r="M936" s="23"/>
      <c r="Q936" s="12"/>
      <c r="S936"/>
    </row>
    <row r="937" spans="1:19" x14ac:dyDescent="0.25">
      <c r="A937" s="12" t="str">
        <f t="shared" si="74"/>
        <v/>
      </c>
      <c r="B937" s="16"/>
      <c r="C937" s="17"/>
      <c r="D937" s="18"/>
      <c r="E937" s="29"/>
      <c r="F937" s="39"/>
      <c r="G937" s="40"/>
      <c r="H937" s="41"/>
      <c r="I937" s="42"/>
      <c r="J937" s="82">
        <f t="shared" si="75"/>
        <v>0</v>
      </c>
      <c r="K937" s="43"/>
      <c r="L937" s="83" t="str">
        <f t="shared" si="76"/>
        <v/>
      </c>
      <c r="M937" s="53"/>
      <c r="Q937" s="12"/>
      <c r="S937"/>
    </row>
    <row r="938" spans="1:19" x14ac:dyDescent="0.25">
      <c r="A938" s="12" t="str">
        <f t="shared" si="74"/>
        <v/>
      </c>
      <c r="B938" s="16"/>
      <c r="C938" s="17"/>
      <c r="D938" s="18"/>
      <c r="E938" s="29"/>
      <c r="F938" s="27"/>
      <c r="G938" s="28"/>
      <c r="H938" s="19"/>
      <c r="I938" s="23"/>
      <c r="J938" s="82">
        <f t="shared" si="75"/>
        <v>0</v>
      </c>
      <c r="K938" s="30"/>
      <c r="L938" s="83" t="str">
        <f t="shared" si="76"/>
        <v/>
      </c>
      <c r="M938" s="23"/>
      <c r="Q938" s="12"/>
      <c r="S938"/>
    </row>
    <row r="939" spans="1:19" x14ac:dyDescent="0.25">
      <c r="A939" s="12" t="str">
        <f t="shared" si="74"/>
        <v/>
      </c>
      <c r="B939" s="16"/>
      <c r="C939" s="17"/>
      <c r="D939" s="18"/>
      <c r="E939" s="29"/>
      <c r="F939" s="39"/>
      <c r="G939" s="40"/>
      <c r="H939" s="41"/>
      <c r="I939" s="42"/>
      <c r="J939" s="82">
        <f t="shared" si="75"/>
        <v>0</v>
      </c>
      <c r="K939" s="43"/>
      <c r="L939" s="83" t="str">
        <f t="shared" si="76"/>
        <v/>
      </c>
      <c r="M939" s="53"/>
      <c r="Q939" s="12"/>
      <c r="S939"/>
    </row>
    <row r="940" spans="1:19" x14ac:dyDescent="0.25">
      <c r="A940" s="12" t="str">
        <f t="shared" si="74"/>
        <v/>
      </c>
      <c r="B940" s="16"/>
      <c r="C940" s="17"/>
      <c r="D940" s="18"/>
      <c r="E940" s="29"/>
      <c r="F940" s="27"/>
      <c r="G940" s="28"/>
      <c r="H940" s="19"/>
      <c r="I940" s="23"/>
      <c r="J940" s="82">
        <f t="shared" si="75"/>
        <v>0</v>
      </c>
      <c r="K940" s="30"/>
      <c r="L940" s="83" t="str">
        <f t="shared" si="76"/>
        <v/>
      </c>
      <c r="M940" s="23"/>
      <c r="Q940" s="12"/>
      <c r="S940"/>
    </row>
    <row r="941" spans="1:19" x14ac:dyDescent="0.25">
      <c r="A941" s="12" t="str">
        <f t="shared" si="74"/>
        <v/>
      </c>
      <c r="B941" s="16"/>
      <c r="C941" s="17"/>
      <c r="D941" s="18"/>
      <c r="E941" s="29"/>
      <c r="F941" s="39"/>
      <c r="G941" s="40"/>
      <c r="H941" s="41"/>
      <c r="I941" s="42"/>
      <c r="J941" s="82">
        <f t="shared" si="75"/>
        <v>0</v>
      </c>
      <c r="K941" s="43"/>
      <c r="L941" s="83" t="str">
        <f t="shared" si="76"/>
        <v/>
      </c>
      <c r="M941" s="53"/>
      <c r="Q941" s="12"/>
      <c r="S941"/>
    </row>
    <row r="942" spans="1:19" x14ac:dyDescent="0.25">
      <c r="A942" s="12" t="str">
        <f t="shared" si="74"/>
        <v/>
      </c>
      <c r="B942" s="16"/>
      <c r="C942" s="17"/>
      <c r="D942" s="18"/>
      <c r="E942" s="29"/>
      <c r="F942" s="27"/>
      <c r="G942" s="28"/>
      <c r="H942" s="19"/>
      <c r="I942" s="23"/>
      <c r="J942" s="82">
        <f t="shared" si="75"/>
        <v>0</v>
      </c>
      <c r="K942" s="30"/>
      <c r="L942" s="83" t="str">
        <f t="shared" si="76"/>
        <v/>
      </c>
      <c r="M942" s="23"/>
      <c r="Q942" s="12"/>
      <c r="S942"/>
    </row>
    <row r="943" spans="1:19" x14ac:dyDescent="0.25">
      <c r="A943" s="12" t="str">
        <f t="shared" si="74"/>
        <v/>
      </c>
      <c r="B943" s="16"/>
      <c r="C943" s="17"/>
      <c r="D943" s="18"/>
      <c r="E943" s="29"/>
      <c r="F943" s="39"/>
      <c r="G943" s="40"/>
      <c r="H943" s="41"/>
      <c r="I943" s="42"/>
      <c r="J943" s="82">
        <f t="shared" si="75"/>
        <v>0</v>
      </c>
      <c r="K943" s="43"/>
      <c r="L943" s="83" t="str">
        <f t="shared" si="76"/>
        <v/>
      </c>
      <c r="M943" s="53"/>
      <c r="Q943" s="12"/>
      <c r="S943"/>
    </row>
    <row r="944" spans="1:19" x14ac:dyDescent="0.25">
      <c r="A944" s="12" t="str">
        <f t="shared" si="74"/>
        <v/>
      </c>
      <c r="B944" s="16"/>
      <c r="C944" s="17"/>
      <c r="D944" s="18"/>
      <c r="E944" s="29"/>
      <c r="F944" s="27"/>
      <c r="G944" s="28"/>
      <c r="H944" s="19"/>
      <c r="I944" s="23"/>
      <c r="J944" s="82">
        <f t="shared" si="75"/>
        <v>0</v>
      </c>
      <c r="K944" s="30"/>
      <c r="L944" s="83" t="str">
        <f t="shared" si="76"/>
        <v/>
      </c>
      <c r="M944" s="23"/>
      <c r="Q944" s="12"/>
      <c r="S944"/>
    </row>
    <row r="945" spans="1:19" x14ac:dyDescent="0.25">
      <c r="A945" s="12" t="str">
        <f t="shared" si="74"/>
        <v/>
      </c>
      <c r="B945" s="16"/>
      <c r="C945" s="17"/>
      <c r="D945" s="18"/>
      <c r="E945" s="29"/>
      <c r="F945" s="39"/>
      <c r="G945" s="40"/>
      <c r="H945" s="41"/>
      <c r="I945" s="42"/>
      <c r="J945" s="82">
        <f t="shared" si="75"/>
        <v>0</v>
      </c>
      <c r="K945" s="43"/>
      <c r="L945" s="83" t="str">
        <f t="shared" si="76"/>
        <v/>
      </c>
      <c r="M945" s="53"/>
      <c r="Q945" s="12"/>
      <c r="S945"/>
    </row>
    <row r="946" spans="1:19" x14ac:dyDescent="0.25">
      <c r="A946" s="12" t="str">
        <f t="shared" si="74"/>
        <v/>
      </c>
      <c r="B946" s="16"/>
      <c r="C946" s="17"/>
      <c r="D946" s="18"/>
      <c r="E946" s="29"/>
      <c r="F946" s="27"/>
      <c r="G946" s="28"/>
      <c r="H946" s="19"/>
      <c r="I946" s="23"/>
      <c r="J946" s="82">
        <f t="shared" si="75"/>
        <v>0</v>
      </c>
      <c r="K946" s="30"/>
      <c r="L946" s="83" t="str">
        <f t="shared" si="76"/>
        <v/>
      </c>
      <c r="M946" s="23"/>
      <c r="Q946" s="12"/>
      <c r="S946"/>
    </row>
    <row r="947" spans="1:19" x14ac:dyDescent="0.25">
      <c r="A947" s="12" t="str">
        <f t="shared" si="74"/>
        <v/>
      </c>
      <c r="B947" s="16"/>
      <c r="C947" s="17"/>
      <c r="D947" s="18"/>
      <c r="E947" s="29"/>
      <c r="F947" s="39"/>
      <c r="G947" s="40"/>
      <c r="H947" s="41"/>
      <c r="I947" s="42"/>
      <c r="J947" s="82">
        <f t="shared" si="75"/>
        <v>0</v>
      </c>
      <c r="K947" s="43"/>
      <c r="L947" s="83" t="str">
        <f t="shared" si="76"/>
        <v/>
      </c>
      <c r="M947" s="53"/>
      <c r="Q947" s="12"/>
      <c r="S947"/>
    </row>
    <row r="948" spans="1:19" x14ac:dyDescent="0.25">
      <c r="A948" s="12" t="str">
        <f t="shared" ref="A948:A1011" si="77">IFERROR(DATE(B948,C948,D948),"")</f>
        <v/>
      </c>
      <c r="B948" s="16"/>
      <c r="C948" s="17"/>
      <c r="D948" s="18"/>
      <c r="E948" s="29"/>
      <c r="F948" s="27"/>
      <c r="G948" s="28"/>
      <c r="H948" s="19"/>
      <c r="I948" s="23"/>
      <c r="J948" s="82">
        <f t="shared" ref="J948:J1011" si="78">IF(E948="entrada",H948*I948,H948*I948*-1)</f>
        <v>0</v>
      </c>
      <c r="K948" s="30"/>
      <c r="L948" s="83" t="str">
        <f t="shared" ref="L948:L1011" si="79">IF(J948=0,"",SUM(L947,J948))</f>
        <v/>
      </c>
      <c r="M948" s="23"/>
      <c r="Q948" s="12"/>
      <c r="S948"/>
    </row>
    <row r="949" spans="1:19" x14ac:dyDescent="0.25">
      <c r="A949" s="12" t="str">
        <f t="shared" si="77"/>
        <v/>
      </c>
      <c r="B949" s="16"/>
      <c r="C949" s="17"/>
      <c r="D949" s="18"/>
      <c r="E949" s="29"/>
      <c r="F949" s="39"/>
      <c r="G949" s="40"/>
      <c r="H949" s="41"/>
      <c r="I949" s="42"/>
      <c r="J949" s="82">
        <f t="shared" si="78"/>
        <v>0</v>
      </c>
      <c r="K949" s="43"/>
      <c r="L949" s="83" t="str">
        <f t="shared" si="79"/>
        <v/>
      </c>
      <c r="M949" s="53"/>
      <c r="Q949" s="12"/>
      <c r="S949"/>
    </row>
    <row r="950" spans="1:19" x14ac:dyDescent="0.25">
      <c r="A950" s="12" t="str">
        <f t="shared" si="77"/>
        <v/>
      </c>
      <c r="B950" s="16"/>
      <c r="C950" s="17"/>
      <c r="D950" s="18"/>
      <c r="E950" s="29"/>
      <c r="F950" s="27"/>
      <c r="G950" s="28"/>
      <c r="H950" s="19"/>
      <c r="I950" s="23"/>
      <c r="J950" s="82">
        <f t="shared" si="78"/>
        <v>0</v>
      </c>
      <c r="K950" s="30"/>
      <c r="L950" s="83" t="str">
        <f t="shared" si="79"/>
        <v/>
      </c>
      <c r="M950" s="23"/>
      <c r="Q950" s="12"/>
      <c r="S950"/>
    </row>
    <row r="951" spans="1:19" x14ac:dyDescent="0.25">
      <c r="A951" s="12" t="str">
        <f t="shared" si="77"/>
        <v/>
      </c>
      <c r="B951" s="16"/>
      <c r="C951" s="17"/>
      <c r="D951" s="18"/>
      <c r="E951" s="29"/>
      <c r="F951" s="39"/>
      <c r="G951" s="40"/>
      <c r="H951" s="41"/>
      <c r="I951" s="42"/>
      <c r="J951" s="82">
        <f t="shared" si="78"/>
        <v>0</v>
      </c>
      <c r="K951" s="43"/>
      <c r="L951" s="83" t="str">
        <f t="shared" si="79"/>
        <v/>
      </c>
      <c r="M951" s="53"/>
      <c r="Q951" s="12"/>
      <c r="S951"/>
    </row>
    <row r="952" spans="1:19" x14ac:dyDescent="0.25">
      <c r="A952" s="12" t="str">
        <f t="shared" si="77"/>
        <v/>
      </c>
      <c r="B952" s="16"/>
      <c r="C952" s="17"/>
      <c r="D952" s="18"/>
      <c r="E952" s="29"/>
      <c r="F952" s="27"/>
      <c r="G952" s="28"/>
      <c r="H952" s="19"/>
      <c r="I952" s="23"/>
      <c r="J952" s="82">
        <f t="shared" si="78"/>
        <v>0</v>
      </c>
      <c r="K952" s="30"/>
      <c r="L952" s="83" t="str">
        <f t="shared" si="79"/>
        <v/>
      </c>
      <c r="M952" s="23"/>
      <c r="Q952" s="12"/>
      <c r="S952"/>
    </row>
    <row r="953" spans="1:19" x14ac:dyDescent="0.25">
      <c r="A953" s="12" t="str">
        <f t="shared" si="77"/>
        <v/>
      </c>
      <c r="B953" s="16"/>
      <c r="C953" s="17"/>
      <c r="D953" s="18"/>
      <c r="E953" s="29"/>
      <c r="F953" s="39"/>
      <c r="G953" s="40"/>
      <c r="H953" s="41"/>
      <c r="I953" s="42"/>
      <c r="J953" s="82">
        <f t="shared" si="78"/>
        <v>0</v>
      </c>
      <c r="K953" s="43"/>
      <c r="L953" s="83" t="str">
        <f t="shared" si="79"/>
        <v/>
      </c>
      <c r="M953" s="53"/>
      <c r="Q953" s="12"/>
      <c r="S953"/>
    </row>
    <row r="954" spans="1:19" x14ac:dyDescent="0.25">
      <c r="A954" s="12" t="str">
        <f t="shared" si="77"/>
        <v/>
      </c>
      <c r="B954" s="16"/>
      <c r="C954" s="17"/>
      <c r="D954" s="18"/>
      <c r="E954" s="29"/>
      <c r="F954" s="27"/>
      <c r="G954" s="28"/>
      <c r="H954" s="19"/>
      <c r="I954" s="23"/>
      <c r="J954" s="82">
        <f t="shared" si="78"/>
        <v>0</v>
      </c>
      <c r="K954" s="30"/>
      <c r="L954" s="83" t="str">
        <f t="shared" si="79"/>
        <v/>
      </c>
      <c r="M954" s="23"/>
      <c r="Q954" s="12"/>
      <c r="S954"/>
    </row>
    <row r="955" spans="1:19" x14ac:dyDescent="0.25">
      <c r="A955" s="12" t="str">
        <f t="shared" si="77"/>
        <v/>
      </c>
      <c r="B955" s="16"/>
      <c r="C955" s="17"/>
      <c r="D955" s="18"/>
      <c r="E955" s="29"/>
      <c r="F955" s="39"/>
      <c r="G955" s="40"/>
      <c r="H955" s="41"/>
      <c r="I955" s="42"/>
      <c r="J955" s="82">
        <f t="shared" si="78"/>
        <v>0</v>
      </c>
      <c r="K955" s="43"/>
      <c r="L955" s="83" t="str">
        <f t="shared" si="79"/>
        <v/>
      </c>
      <c r="M955" s="53"/>
      <c r="Q955" s="12"/>
      <c r="S955"/>
    </row>
    <row r="956" spans="1:19" x14ac:dyDescent="0.25">
      <c r="A956" s="12" t="str">
        <f t="shared" si="77"/>
        <v/>
      </c>
      <c r="B956" s="16"/>
      <c r="C956" s="17"/>
      <c r="D956" s="18"/>
      <c r="E956" s="29"/>
      <c r="F956" s="27"/>
      <c r="G956" s="28"/>
      <c r="H956" s="19"/>
      <c r="I956" s="23"/>
      <c r="J956" s="82">
        <f t="shared" si="78"/>
        <v>0</v>
      </c>
      <c r="K956" s="30"/>
      <c r="L956" s="83" t="str">
        <f t="shared" si="79"/>
        <v/>
      </c>
      <c r="M956" s="23"/>
      <c r="Q956" s="12"/>
      <c r="S956"/>
    </row>
    <row r="957" spans="1:19" x14ac:dyDescent="0.25">
      <c r="A957" s="12" t="str">
        <f t="shared" si="77"/>
        <v/>
      </c>
      <c r="B957" s="16"/>
      <c r="C957" s="17"/>
      <c r="D957" s="18"/>
      <c r="E957" s="29"/>
      <c r="F957" s="39"/>
      <c r="G957" s="40"/>
      <c r="H957" s="41"/>
      <c r="I957" s="42"/>
      <c r="J957" s="82">
        <f t="shared" si="78"/>
        <v>0</v>
      </c>
      <c r="K957" s="43"/>
      <c r="L957" s="83" t="str">
        <f t="shared" si="79"/>
        <v/>
      </c>
      <c r="M957" s="53"/>
      <c r="Q957" s="12"/>
      <c r="S957"/>
    </row>
    <row r="958" spans="1:19" x14ac:dyDescent="0.25">
      <c r="A958" s="12" t="str">
        <f t="shared" si="77"/>
        <v/>
      </c>
      <c r="B958" s="16"/>
      <c r="C958" s="17"/>
      <c r="D958" s="18"/>
      <c r="E958" s="29"/>
      <c r="F958" s="27"/>
      <c r="G958" s="28"/>
      <c r="H958" s="19"/>
      <c r="I958" s="23"/>
      <c r="J958" s="82">
        <f t="shared" si="78"/>
        <v>0</v>
      </c>
      <c r="K958" s="30"/>
      <c r="L958" s="83" t="str">
        <f t="shared" si="79"/>
        <v/>
      </c>
      <c r="M958" s="23"/>
      <c r="Q958" s="12"/>
      <c r="S958"/>
    </row>
    <row r="959" spans="1:19" x14ac:dyDescent="0.25">
      <c r="A959" s="12" t="str">
        <f t="shared" si="77"/>
        <v/>
      </c>
      <c r="B959" s="16"/>
      <c r="C959" s="17"/>
      <c r="D959" s="18"/>
      <c r="E959" s="29"/>
      <c r="F959" s="39"/>
      <c r="G959" s="40"/>
      <c r="H959" s="41"/>
      <c r="I959" s="42"/>
      <c r="J959" s="82">
        <f t="shared" si="78"/>
        <v>0</v>
      </c>
      <c r="K959" s="43"/>
      <c r="L959" s="83" t="str">
        <f t="shared" si="79"/>
        <v/>
      </c>
      <c r="M959" s="53"/>
      <c r="Q959" s="12"/>
      <c r="S959"/>
    </row>
    <row r="960" spans="1:19" x14ac:dyDescent="0.25">
      <c r="A960" s="12" t="str">
        <f t="shared" si="77"/>
        <v/>
      </c>
      <c r="B960" s="16"/>
      <c r="C960" s="17"/>
      <c r="D960" s="18"/>
      <c r="E960" s="29"/>
      <c r="F960" s="27"/>
      <c r="G960" s="28"/>
      <c r="H960" s="19"/>
      <c r="I960" s="23"/>
      <c r="J960" s="82">
        <f t="shared" si="78"/>
        <v>0</v>
      </c>
      <c r="K960" s="30"/>
      <c r="L960" s="83" t="str">
        <f t="shared" si="79"/>
        <v/>
      </c>
      <c r="M960" s="23"/>
      <c r="Q960" s="12"/>
      <c r="S960"/>
    </row>
    <row r="961" spans="1:19" x14ac:dyDescent="0.25">
      <c r="A961" s="12" t="str">
        <f t="shared" si="77"/>
        <v/>
      </c>
      <c r="B961" s="16"/>
      <c r="C961" s="17"/>
      <c r="D961" s="18"/>
      <c r="E961" s="29"/>
      <c r="F961" s="39"/>
      <c r="G961" s="40"/>
      <c r="H961" s="41"/>
      <c r="I961" s="42"/>
      <c r="J961" s="82">
        <f t="shared" si="78"/>
        <v>0</v>
      </c>
      <c r="K961" s="43"/>
      <c r="L961" s="83" t="str">
        <f t="shared" si="79"/>
        <v/>
      </c>
      <c r="M961" s="53"/>
      <c r="Q961" s="12"/>
      <c r="S961"/>
    </row>
    <row r="962" spans="1:19" x14ac:dyDescent="0.25">
      <c r="A962" s="12" t="str">
        <f t="shared" si="77"/>
        <v/>
      </c>
      <c r="B962" s="16"/>
      <c r="C962" s="17"/>
      <c r="D962" s="18"/>
      <c r="E962" s="29"/>
      <c r="F962" s="27"/>
      <c r="G962" s="28"/>
      <c r="H962" s="19"/>
      <c r="I962" s="23"/>
      <c r="J962" s="82">
        <f t="shared" si="78"/>
        <v>0</v>
      </c>
      <c r="K962" s="30"/>
      <c r="L962" s="83" t="str">
        <f t="shared" si="79"/>
        <v/>
      </c>
      <c r="M962" s="23"/>
      <c r="Q962" s="12"/>
      <c r="S962"/>
    </row>
    <row r="963" spans="1:19" x14ac:dyDescent="0.25">
      <c r="A963" s="12" t="str">
        <f t="shared" si="77"/>
        <v/>
      </c>
      <c r="B963" s="16"/>
      <c r="C963" s="17"/>
      <c r="D963" s="18"/>
      <c r="E963" s="29"/>
      <c r="F963" s="39"/>
      <c r="G963" s="40"/>
      <c r="H963" s="41"/>
      <c r="I963" s="42"/>
      <c r="J963" s="82">
        <f t="shared" si="78"/>
        <v>0</v>
      </c>
      <c r="K963" s="43"/>
      <c r="L963" s="83" t="str">
        <f t="shared" si="79"/>
        <v/>
      </c>
      <c r="M963" s="53"/>
      <c r="Q963" s="12"/>
      <c r="S963"/>
    </row>
    <row r="964" spans="1:19" x14ac:dyDescent="0.25">
      <c r="A964" s="12" t="str">
        <f t="shared" si="77"/>
        <v/>
      </c>
      <c r="B964" s="16"/>
      <c r="C964" s="17"/>
      <c r="D964" s="18"/>
      <c r="E964" s="29"/>
      <c r="F964" s="27"/>
      <c r="G964" s="28"/>
      <c r="H964" s="19"/>
      <c r="I964" s="23"/>
      <c r="J964" s="82">
        <f t="shared" si="78"/>
        <v>0</v>
      </c>
      <c r="K964" s="30"/>
      <c r="L964" s="83" t="str">
        <f t="shared" si="79"/>
        <v/>
      </c>
      <c r="M964" s="23"/>
      <c r="Q964" s="12"/>
      <c r="S964"/>
    </row>
    <row r="965" spans="1:19" x14ac:dyDescent="0.25">
      <c r="A965" s="12" t="str">
        <f t="shared" si="77"/>
        <v/>
      </c>
      <c r="B965" s="16"/>
      <c r="C965" s="17"/>
      <c r="D965" s="18"/>
      <c r="E965" s="29"/>
      <c r="F965" s="39"/>
      <c r="G965" s="40"/>
      <c r="H965" s="41"/>
      <c r="I965" s="42"/>
      <c r="J965" s="82">
        <f t="shared" si="78"/>
        <v>0</v>
      </c>
      <c r="K965" s="43"/>
      <c r="L965" s="83" t="str">
        <f t="shared" si="79"/>
        <v/>
      </c>
      <c r="M965" s="53"/>
      <c r="Q965" s="12"/>
      <c r="S965"/>
    </row>
    <row r="966" spans="1:19" x14ac:dyDescent="0.25">
      <c r="A966" s="12" t="str">
        <f t="shared" si="77"/>
        <v/>
      </c>
      <c r="B966" s="16"/>
      <c r="C966" s="17"/>
      <c r="D966" s="18"/>
      <c r="E966" s="29"/>
      <c r="F966" s="27"/>
      <c r="G966" s="28"/>
      <c r="H966" s="19"/>
      <c r="I966" s="23"/>
      <c r="J966" s="82">
        <f t="shared" si="78"/>
        <v>0</v>
      </c>
      <c r="K966" s="30"/>
      <c r="L966" s="83" t="str">
        <f t="shared" si="79"/>
        <v/>
      </c>
      <c r="M966" s="23"/>
      <c r="Q966" s="12"/>
      <c r="S966"/>
    </row>
    <row r="967" spans="1:19" x14ac:dyDescent="0.25">
      <c r="A967" s="12" t="str">
        <f t="shared" si="77"/>
        <v/>
      </c>
      <c r="B967" s="16"/>
      <c r="C967" s="17"/>
      <c r="D967" s="18"/>
      <c r="E967" s="29"/>
      <c r="F967" s="39"/>
      <c r="G967" s="40"/>
      <c r="H967" s="41"/>
      <c r="I967" s="42"/>
      <c r="J967" s="82">
        <f t="shared" si="78"/>
        <v>0</v>
      </c>
      <c r="K967" s="43"/>
      <c r="L967" s="83" t="str">
        <f t="shared" si="79"/>
        <v/>
      </c>
      <c r="M967" s="53"/>
      <c r="Q967" s="12"/>
      <c r="S967"/>
    </row>
    <row r="968" spans="1:19" x14ac:dyDescent="0.25">
      <c r="A968" s="12" t="str">
        <f t="shared" si="77"/>
        <v/>
      </c>
      <c r="B968" s="16"/>
      <c r="C968" s="17"/>
      <c r="D968" s="18"/>
      <c r="E968" s="29"/>
      <c r="F968" s="27"/>
      <c r="G968" s="28"/>
      <c r="H968" s="19"/>
      <c r="I968" s="23"/>
      <c r="J968" s="82">
        <f t="shared" si="78"/>
        <v>0</v>
      </c>
      <c r="K968" s="30"/>
      <c r="L968" s="83" t="str">
        <f t="shared" si="79"/>
        <v/>
      </c>
      <c r="M968" s="23"/>
      <c r="Q968" s="12"/>
      <c r="S968"/>
    </row>
    <row r="969" spans="1:19" x14ac:dyDescent="0.25">
      <c r="A969" s="12" t="str">
        <f t="shared" si="77"/>
        <v/>
      </c>
      <c r="B969" s="16"/>
      <c r="C969" s="17"/>
      <c r="D969" s="18"/>
      <c r="E969" s="29"/>
      <c r="F969" s="39"/>
      <c r="G969" s="40"/>
      <c r="H969" s="41"/>
      <c r="I969" s="42"/>
      <c r="J969" s="82">
        <f t="shared" si="78"/>
        <v>0</v>
      </c>
      <c r="K969" s="43"/>
      <c r="L969" s="83" t="str">
        <f t="shared" si="79"/>
        <v/>
      </c>
      <c r="M969" s="53"/>
      <c r="Q969" s="12"/>
      <c r="S969"/>
    </row>
    <row r="970" spans="1:19" x14ac:dyDescent="0.25">
      <c r="A970" s="12" t="str">
        <f t="shared" si="77"/>
        <v/>
      </c>
      <c r="B970" s="16"/>
      <c r="C970" s="17"/>
      <c r="D970" s="18"/>
      <c r="E970" s="29"/>
      <c r="F970" s="27"/>
      <c r="G970" s="28"/>
      <c r="H970" s="19"/>
      <c r="I970" s="23"/>
      <c r="J970" s="82">
        <f t="shared" si="78"/>
        <v>0</v>
      </c>
      <c r="K970" s="30"/>
      <c r="L970" s="83" t="str">
        <f t="shared" si="79"/>
        <v/>
      </c>
      <c r="M970" s="23"/>
      <c r="Q970" s="12"/>
      <c r="S970"/>
    </row>
    <row r="971" spans="1:19" x14ac:dyDescent="0.25">
      <c r="A971" s="12" t="str">
        <f t="shared" si="77"/>
        <v/>
      </c>
      <c r="B971" s="16"/>
      <c r="C971" s="17"/>
      <c r="D971" s="18"/>
      <c r="E971" s="29"/>
      <c r="F971" s="39"/>
      <c r="G971" s="40"/>
      <c r="H971" s="41"/>
      <c r="I971" s="42"/>
      <c r="J971" s="82">
        <f t="shared" si="78"/>
        <v>0</v>
      </c>
      <c r="K971" s="43"/>
      <c r="L971" s="83" t="str">
        <f t="shared" si="79"/>
        <v/>
      </c>
      <c r="M971" s="53"/>
      <c r="Q971" s="12"/>
      <c r="S971"/>
    </row>
    <row r="972" spans="1:19" x14ac:dyDescent="0.25">
      <c r="A972" s="12" t="str">
        <f t="shared" si="77"/>
        <v/>
      </c>
      <c r="B972" s="16"/>
      <c r="C972" s="17"/>
      <c r="D972" s="18"/>
      <c r="E972" s="29"/>
      <c r="F972" s="27"/>
      <c r="G972" s="28"/>
      <c r="H972" s="19"/>
      <c r="I972" s="23"/>
      <c r="J972" s="82">
        <f t="shared" si="78"/>
        <v>0</v>
      </c>
      <c r="K972" s="30"/>
      <c r="L972" s="83" t="str">
        <f t="shared" si="79"/>
        <v/>
      </c>
      <c r="M972" s="23"/>
      <c r="Q972" s="12"/>
      <c r="S972"/>
    </row>
    <row r="973" spans="1:19" x14ac:dyDescent="0.25">
      <c r="A973" s="12" t="str">
        <f t="shared" si="77"/>
        <v/>
      </c>
      <c r="B973" s="16"/>
      <c r="C973" s="17"/>
      <c r="D973" s="18"/>
      <c r="E973" s="29"/>
      <c r="F973" s="39"/>
      <c r="G973" s="40"/>
      <c r="H973" s="41"/>
      <c r="I973" s="42"/>
      <c r="J973" s="82">
        <f t="shared" si="78"/>
        <v>0</v>
      </c>
      <c r="K973" s="43"/>
      <c r="L973" s="83" t="str">
        <f t="shared" si="79"/>
        <v/>
      </c>
      <c r="M973" s="53"/>
      <c r="Q973" s="12"/>
      <c r="S973"/>
    </row>
    <row r="974" spans="1:19" x14ac:dyDescent="0.25">
      <c r="A974" s="12" t="str">
        <f t="shared" si="77"/>
        <v/>
      </c>
      <c r="B974" s="16"/>
      <c r="C974" s="17"/>
      <c r="D974" s="18"/>
      <c r="E974" s="29"/>
      <c r="F974" s="27"/>
      <c r="G974" s="28"/>
      <c r="H974" s="19"/>
      <c r="I974" s="23"/>
      <c r="J974" s="82">
        <f t="shared" si="78"/>
        <v>0</v>
      </c>
      <c r="K974" s="30"/>
      <c r="L974" s="83" t="str">
        <f t="shared" si="79"/>
        <v/>
      </c>
      <c r="M974" s="23"/>
      <c r="Q974" s="12"/>
      <c r="S974"/>
    </row>
    <row r="975" spans="1:19" x14ac:dyDescent="0.25">
      <c r="A975" s="12" t="str">
        <f t="shared" si="77"/>
        <v/>
      </c>
      <c r="B975" s="16"/>
      <c r="C975" s="17"/>
      <c r="D975" s="18"/>
      <c r="E975" s="29"/>
      <c r="F975" s="39"/>
      <c r="G975" s="40"/>
      <c r="H975" s="41"/>
      <c r="I975" s="42"/>
      <c r="J975" s="82">
        <f t="shared" si="78"/>
        <v>0</v>
      </c>
      <c r="K975" s="43"/>
      <c r="L975" s="83" t="str">
        <f t="shared" si="79"/>
        <v/>
      </c>
      <c r="M975" s="53"/>
      <c r="Q975" s="12"/>
      <c r="S975"/>
    </row>
    <row r="976" spans="1:19" x14ac:dyDescent="0.25">
      <c r="A976" s="12" t="str">
        <f t="shared" si="77"/>
        <v/>
      </c>
      <c r="B976" s="16"/>
      <c r="C976" s="17"/>
      <c r="D976" s="18"/>
      <c r="E976" s="29"/>
      <c r="F976" s="27"/>
      <c r="G976" s="28"/>
      <c r="H976" s="19"/>
      <c r="I976" s="23"/>
      <c r="J976" s="82">
        <f t="shared" si="78"/>
        <v>0</v>
      </c>
      <c r="K976" s="30"/>
      <c r="L976" s="83" t="str">
        <f t="shared" si="79"/>
        <v/>
      </c>
      <c r="M976" s="23"/>
      <c r="Q976" s="12"/>
      <c r="S976"/>
    </row>
    <row r="977" spans="1:19" x14ac:dyDescent="0.25">
      <c r="A977" s="12" t="str">
        <f t="shared" si="77"/>
        <v/>
      </c>
      <c r="B977" s="16"/>
      <c r="C977" s="17"/>
      <c r="D977" s="18"/>
      <c r="E977" s="29"/>
      <c r="F977" s="39"/>
      <c r="G977" s="40"/>
      <c r="H977" s="41"/>
      <c r="I977" s="42"/>
      <c r="J977" s="82">
        <f t="shared" si="78"/>
        <v>0</v>
      </c>
      <c r="K977" s="43"/>
      <c r="L977" s="83" t="str">
        <f t="shared" si="79"/>
        <v/>
      </c>
      <c r="M977" s="53"/>
      <c r="Q977" s="12"/>
      <c r="S977"/>
    </row>
    <row r="978" spans="1:19" x14ac:dyDescent="0.25">
      <c r="A978" s="12" t="str">
        <f t="shared" si="77"/>
        <v/>
      </c>
      <c r="B978" s="16"/>
      <c r="C978" s="17"/>
      <c r="D978" s="18"/>
      <c r="E978" s="29"/>
      <c r="F978" s="27"/>
      <c r="G978" s="28"/>
      <c r="H978" s="19"/>
      <c r="I978" s="23"/>
      <c r="J978" s="82">
        <f t="shared" si="78"/>
        <v>0</v>
      </c>
      <c r="K978" s="30"/>
      <c r="L978" s="83" t="str">
        <f t="shared" si="79"/>
        <v/>
      </c>
      <c r="M978" s="23"/>
      <c r="Q978" s="12"/>
      <c r="S978"/>
    </row>
    <row r="979" spans="1:19" x14ac:dyDescent="0.25">
      <c r="A979" s="12" t="str">
        <f t="shared" si="77"/>
        <v/>
      </c>
      <c r="B979" s="16"/>
      <c r="C979" s="17"/>
      <c r="D979" s="18"/>
      <c r="E979" s="29"/>
      <c r="F979" s="39"/>
      <c r="G979" s="40"/>
      <c r="H979" s="41"/>
      <c r="I979" s="42"/>
      <c r="J979" s="82">
        <f t="shared" si="78"/>
        <v>0</v>
      </c>
      <c r="K979" s="43"/>
      <c r="L979" s="83" t="str">
        <f t="shared" si="79"/>
        <v/>
      </c>
      <c r="M979" s="53"/>
      <c r="Q979" s="12"/>
      <c r="S979"/>
    </row>
    <row r="980" spans="1:19" x14ac:dyDescent="0.25">
      <c r="A980" s="12" t="str">
        <f t="shared" si="77"/>
        <v/>
      </c>
      <c r="B980" s="16"/>
      <c r="C980" s="17"/>
      <c r="D980" s="18"/>
      <c r="E980" s="29"/>
      <c r="F980" s="27"/>
      <c r="G980" s="28"/>
      <c r="H980" s="19"/>
      <c r="I980" s="23"/>
      <c r="J980" s="82">
        <f t="shared" si="78"/>
        <v>0</v>
      </c>
      <c r="K980" s="30"/>
      <c r="L980" s="83" t="str">
        <f t="shared" si="79"/>
        <v/>
      </c>
      <c r="M980" s="23"/>
      <c r="Q980" s="12"/>
      <c r="S980"/>
    </row>
    <row r="981" spans="1:19" x14ac:dyDescent="0.25">
      <c r="A981" s="12" t="str">
        <f t="shared" si="77"/>
        <v/>
      </c>
      <c r="B981" s="16"/>
      <c r="C981" s="17"/>
      <c r="D981" s="18"/>
      <c r="E981" s="29"/>
      <c r="F981" s="39"/>
      <c r="G981" s="40"/>
      <c r="H981" s="41"/>
      <c r="I981" s="42"/>
      <c r="J981" s="82">
        <f t="shared" si="78"/>
        <v>0</v>
      </c>
      <c r="K981" s="43"/>
      <c r="L981" s="83" t="str">
        <f t="shared" si="79"/>
        <v/>
      </c>
      <c r="M981" s="53"/>
      <c r="Q981" s="12"/>
      <c r="S981"/>
    </row>
    <row r="982" spans="1:19" x14ac:dyDescent="0.25">
      <c r="A982" s="12" t="str">
        <f t="shared" si="77"/>
        <v/>
      </c>
      <c r="B982" s="16"/>
      <c r="C982" s="17"/>
      <c r="D982" s="18"/>
      <c r="E982" s="29"/>
      <c r="F982" s="27"/>
      <c r="G982" s="28"/>
      <c r="H982" s="19"/>
      <c r="I982" s="23"/>
      <c r="J982" s="82">
        <f t="shared" si="78"/>
        <v>0</v>
      </c>
      <c r="K982" s="30"/>
      <c r="L982" s="83" t="str">
        <f t="shared" si="79"/>
        <v/>
      </c>
      <c r="M982" s="23"/>
      <c r="Q982" s="12"/>
      <c r="S982"/>
    </row>
    <row r="983" spans="1:19" x14ac:dyDescent="0.25">
      <c r="A983" s="12" t="str">
        <f t="shared" si="77"/>
        <v/>
      </c>
      <c r="B983" s="16"/>
      <c r="C983" s="17"/>
      <c r="D983" s="18"/>
      <c r="E983" s="29"/>
      <c r="F983" s="39"/>
      <c r="G983" s="40"/>
      <c r="H983" s="41"/>
      <c r="I983" s="42"/>
      <c r="J983" s="82">
        <f t="shared" si="78"/>
        <v>0</v>
      </c>
      <c r="K983" s="43"/>
      <c r="L983" s="83" t="str">
        <f t="shared" si="79"/>
        <v/>
      </c>
      <c r="M983" s="53"/>
      <c r="Q983" s="12"/>
      <c r="S983"/>
    </row>
    <row r="984" spans="1:19" x14ac:dyDescent="0.25">
      <c r="A984" s="12" t="str">
        <f t="shared" si="77"/>
        <v/>
      </c>
      <c r="B984" s="16"/>
      <c r="C984" s="17"/>
      <c r="D984" s="18"/>
      <c r="E984" s="29"/>
      <c r="F984" s="27"/>
      <c r="G984" s="28"/>
      <c r="H984" s="19"/>
      <c r="I984" s="23"/>
      <c r="J984" s="82">
        <f t="shared" si="78"/>
        <v>0</v>
      </c>
      <c r="K984" s="30"/>
      <c r="L984" s="83" t="str">
        <f t="shared" si="79"/>
        <v/>
      </c>
      <c r="M984" s="23"/>
      <c r="Q984" s="12"/>
      <c r="S984"/>
    </row>
    <row r="985" spans="1:19" x14ac:dyDescent="0.25">
      <c r="A985" s="12" t="str">
        <f t="shared" si="77"/>
        <v/>
      </c>
      <c r="B985" s="16"/>
      <c r="C985" s="17"/>
      <c r="D985" s="18"/>
      <c r="E985" s="29"/>
      <c r="F985" s="39"/>
      <c r="G985" s="40"/>
      <c r="H985" s="41"/>
      <c r="I985" s="42"/>
      <c r="J985" s="82">
        <f t="shared" si="78"/>
        <v>0</v>
      </c>
      <c r="K985" s="43"/>
      <c r="L985" s="83" t="str">
        <f t="shared" si="79"/>
        <v/>
      </c>
      <c r="M985" s="53"/>
      <c r="Q985" s="12"/>
      <c r="S985"/>
    </row>
    <row r="986" spans="1:19" x14ac:dyDescent="0.25">
      <c r="A986" s="12" t="str">
        <f t="shared" si="77"/>
        <v/>
      </c>
      <c r="B986" s="16"/>
      <c r="C986" s="17"/>
      <c r="D986" s="18"/>
      <c r="E986" s="29"/>
      <c r="F986" s="27"/>
      <c r="G986" s="28"/>
      <c r="H986" s="19"/>
      <c r="I986" s="23"/>
      <c r="J986" s="82">
        <f t="shared" si="78"/>
        <v>0</v>
      </c>
      <c r="K986" s="30"/>
      <c r="L986" s="83" t="str">
        <f t="shared" si="79"/>
        <v/>
      </c>
      <c r="M986" s="23"/>
      <c r="Q986" s="12"/>
      <c r="S986"/>
    </row>
    <row r="987" spans="1:19" x14ac:dyDescent="0.25">
      <c r="A987" s="12" t="str">
        <f t="shared" si="77"/>
        <v/>
      </c>
      <c r="B987" s="16"/>
      <c r="C987" s="17"/>
      <c r="D987" s="18"/>
      <c r="E987" s="29"/>
      <c r="F987" s="39"/>
      <c r="G987" s="40"/>
      <c r="H987" s="41"/>
      <c r="I987" s="42"/>
      <c r="J987" s="82">
        <f t="shared" si="78"/>
        <v>0</v>
      </c>
      <c r="K987" s="43"/>
      <c r="L987" s="83" t="str">
        <f t="shared" si="79"/>
        <v/>
      </c>
      <c r="M987" s="53"/>
      <c r="Q987" s="12"/>
      <c r="S987"/>
    </row>
    <row r="988" spans="1:19" x14ac:dyDescent="0.25">
      <c r="A988" s="12" t="str">
        <f t="shared" si="77"/>
        <v/>
      </c>
      <c r="B988" s="16"/>
      <c r="C988" s="17"/>
      <c r="D988" s="18"/>
      <c r="E988" s="29"/>
      <c r="F988" s="27"/>
      <c r="G988" s="28"/>
      <c r="H988" s="19"/>
      <c r="I988" s="23"/>
      <c r="J988" s="82">
        <f t="shared" si="78"/>
        <v>0</v>
      </c>
      <c r="K988" s="30"/>
      <c r="L988" s="83" t="str">
        <f t="shared" si="79"/>
        <v/>
      </c>
      <c r="M988" s="23"/>
      <c r="Q988" s="12"/>
      <c r="S988"/>
    </row>
    <row r="989" spans="1:19" x14ac:dyDescent="0.25">
      <c r="A989" s="12" t="str">
        <f t="shared" si="77"/>
        <v/>
      </c>
      <c r="B989" s="16"/>
      <c r="C989" s="17"/>
      <c r="D989" s="18"/>
      <c r="E989" s="29"/>
      <c r="F989" s="39"/>
      <c r="G989" s="40"/>
      <c r="H989" s="41"/>
      <c r="I989" s="42"/>
      <c r="J989" s="82">
        <f t="shared" si="78"/>
        <v>0</v>
      </c>
      <c r="K989" s="43"/>
      <c r="L989" s="83" t="str">
        <f t="shared" si="79"/>
        <v/>
      </c>
      <c r="M989" s="53"/>
      <c r="Q989" s="12"/>
      <c r="S989"/>
    </row>
    <row r="990" spans="1:19" x14ac:dyDescent="0.25">
      <c r="A990" s="12" t="str">
        <f t="shared" si="77"/>
        <v/>
      </c>
      <c r="B990" s="16"/>
      <c r="C990" s="17"/>
      <c r="D990" s="18"/>
      <c r="E990" s="29"/>
      <c r="F990" s="27"/>
      <c r="G990" s="28"/>
      <c r="H990" s="19"/>
      <c r="I990" s="23"/>
      <c r="J990" s="82">
        <f t="shared" si="78"/>
        <v>0</v>
      </c>
      <c r="K990" s="30"/>
      <c r="L990" s="83" t="str">
        <f t="shared" si="79"/>
        <v/>
      </c>
      <c r="M990" s="23"/>
      <c r="Q990" s="12"/>
      <c r="S990"/>
    </row>
    <row r="991" spans="1:19" x14ac:dyDescent="0.25">
      <c r="A991" s="12" t="str">
        <f t="shared" si="77"/>
        <v/>
      </c>
      <c r="B991" s="16"/>
      <c r="C991" s="17"/>
      <c r="D991" s="18"/>
      <c r="E991" s="29"/>
      <c r="F991" s="39"/>
      <c r="G991" s="40"/>
      <c r="H991" s="41"/>
      <c r="I991" s="42"/>
      <c r="J991" s="82">
        <f t="shared" si="78"/>
        <v>0</v>
      </c>
      <c r="K991" s="43"/>
      <c r="L991" s="83" t="str">
        <f t="shared" si="79"/>
        <v/>
      </c>
      <c r="M991" s="53"/>
      <c r="Q991" s="12"/>
      <c r="S991"/>
    </row>
    <row r="992" spans="1:19" x14ac:dyDescent="0.25">
      <c r="A992" s="12" t="str">
        <f t="shared" si="77"/>
        <v/>
      </c>
      <c r="B992" s="16"/>
      <c r="C992" s="17"/>
      <c r="D992" s="18"/>
      <c r="E992" s="29"/>
      <c r="F992" s="27"/>
      <c r="G992" s="28"/>
      <c r="H992" s="19"/>
      <c r="I992" s="23"/>
      <c r="J992" s="82">
        <f t="shared" si="78"/>
        <v>0</v>
      </c>
      <c r="K992" s="30"/>
      <c r="L992" s="83" t="str">
        <f t="shared" si="79"/>
        <v/>
      </c>
      <c r="M992" s="23"/>
      <c r="Q992" s="12"/>
      <c r="S992"/>
    </row>
    <row r="993" spans="1:19" x14ac:dyDescent="0.25">
      <c r="A993" s="12" t="str">
        <f t="shared" si="77"/>
        <v/>
      </c>
      <c r="B993" s="16"/>
      <c r="C993" s="17"/>
      <c r="D993" s="18"/>
      <c r="E993" s="29"/>
      <c r="F993" s="39"/>
      <c r="G993" s="40"/>
      <c r="H993" s="41"/>
      <c r="I993" s="42"/>
      <c r="J993" s="82">
        <f t="shared" si="78"/>
        <v>0</v>
      </c>
      <c r="K993" s="43"/>
      <c r="L993" s="83" t="str">
        <f t="shared" si="79"/>
        <v/>
      </c>
      <c r="M993" s="53"/>
      <c r="Q993" s="12"/>
      <c r="S993"/>
    </row>
    <row r="994" spans="1:19" x14ac:dyDescent="0.25">
      <c r="A994" s="12" t="str">
        <f t="shared" si="77"/>
        <v/>
      </c>
      <c r="B994" s="16"/>
      <c r="C994" s="17"/>
      <c r="D994" s="18"/>
      <c r="E994" s="29"/>
      <c r="F994" s="27"/>
      <c r="G994" s="28"/>
      <c r="H994" s="19"/>
      <c r="I994" s="23"/>
      <c r="J994" s="82">
        <f t="shared" si="78"/>
        <v>0</v>
      </c>
      <c r="K994" s="30"/>
      <c r="L994" s="83" t="str">
        <f t="shared" si="79"/>
        <v/>
      </c>
      <c r="M994" s="23"/>
      <c r="Q994" s="12"/>
      <c r="S994"/>
    </row>
    <row r="995" spans="1:19" x14ac:dyDescent="0.25">
      <c r="A995" s="12" t="str">
        <f t="shared" si="77"/>
        <v/>
      </c>
      <c r="B995" s="16"/>
      <c r="C995" s="17"/>
      <c r="D995" s="18"/>
      <c r="E995" s="29"/>
      <c r="F995" s="39"/>
      <c r="G995" s="40"/>
      <c r="H995" s="41"/>
      <c r="I995" s="42"/>
      <c r="J995" s="82">
        <f t="shared" si="78"/>
        <v>0</v>
      </c>
      <c r="K995" s="43"/>
      <c r="L995" s="83" t="str">
        <f t="shared" si="79"/>
        <v/>
      </c>
      <c r="M995" s="53"/>
      <c r="Q995" s="12"/>
      <c r="S995"/>
    </row>
    <row r="996" spans="1:19" x14ac:dyDescent="0.25">
      <c r="A996" s="12" t="str">
        <f t="shared" si="77"/>
        <v/>
      </c>
      <c r="B996" s="16"/>
      <c r="C996" s="17"/>
      <c r="D996" s="18"/>
      <c r="E996" s="29"/>
      <c r="F996" s="27"/>
      <c r="G996" s="28"/>
      <c r="H996" s="19"/>
      <c r="I996" s="23"/>
      <c r="J996" s="82">
        <f t="shared" si="78"/>
        <v>0</v>
      </c>
      <c r="K996" s="30"/>
      <c r="L996" s="83" t="str">
        <f t="shared" si="79"/>
        <v/>
      </c>
      <c r="M996" s="23"/>
      <c r="Q996" s="12"/>
      <c r="S996"/>
    </row>
    <row r="997" spans="1:19" x14ac:dyDescent="0.25">
      <c r="A997" s="12" t="str">
        <f t="shared" si="77"/>
        <v/>
      </c>
      <c r="B997" s="16"/>
      <c r="C997" s="17"/>
      <c r="D997" s="18"/>
      <c r="E997" s="29"/>
      <c r="F997" s="39"/>
      <c r="G997" s="40"/>
      <c r="H997" s="41"/>
      <c r="I997" s="42"/>
      <c r="J997" s="82">
        <f t="shared" si="78"/>
        <v>0</v>
      </c>
      <c r="K997" s="43"/>
      <c r="L997" s="83" t="str">
        <f t="shared" si="79"/>
        <v/>
      </c>
      <c r="M997" s="53"/>
      <c r="Q997" s="12"/>
      <c r="S997"/>
    </row>
    <row r="998" spans="1:19" x14ac:dyDescent="0.25">
      <c r="A998" s="12" t="str">
        <f t="shared" si="77"/>
        <v/>
      </c>
      <c r="B998" s="16"/>
      <c r="C998" s="17"/>
      <c r="D998" s="18"/>
      <c r="E998" s="29"/>
      <c r="F998" s="27"/>
      <c r="G998" s="28"/>
      <c r="H998" s="19"/>
      <c r="I998" s="23"/>
      <c r="J998" s="82">
        <f t="shared" si="78"/>
        <v>0</v>
      </c>
      <c r="K998" s="30"/>
      <c r="L998" s="83" t="str">
        <f t="shared" si="79"/>
        <v/>
      </c>
      <c r="M998" s="23"/>
      <c r="Q998" s="12"/>
      <c r="S998"/>
    </row>
    <row r="999" spans="1:19" x14ac:dyDescent="0.25">
      <c r="A999" s="12" t="str">
        <f t="shared" si="77"/>
        <v/>
      </c>
      <c r="B999" s="16"/>
      <c r="C999" s="17"/>
      <c r="D999" s="18"/>
      <c r="E999" s="29"/>
      <c r="F999" s="39"/>
      <c r="G999" s="40"/>
      <c r="H999" s="41"/>
      <c r="I999" s="42"/>
      <c r="J999" s="82">
        <f t="shared" si="78"/>
        <v>0</v>
      </c>
      <c r="K999" s="43"/>
      <c r="L999" s="83" t="str">
        <f t="shared" si="79"/>
        <v/>
      </c>
      <c r="M999" s="53"/>
      <c r="Q999" s="12"/>
      <c r="S999"/>
    </row>
    <row r="1000" spans="1:19" x14ac:dyDescent="0.25">
      <c r="A1000" s="12" t="str">
        <f t="shared" si="77"/>
        <v/>
      </c>
      <c r="B1000" s="16"/>
      <c r="C1000" s="17"/>
      <c r="D1000" s="18"/>
      <c r="E1000" s="29"/>
      <c r="F1000" s="27"/>
      <c r="G1000" s="28"/>
      <c r="H1000" s="19"/>
      <c r="I1000" s="23"/>
      <c r="J1000" s="82">
        <f t="shared" si="78"/>
        <v>0</v>
      </c>
      <c r="K1000" s="30"/>
      <c r="L1000" s="83" t="str">
        <f t="shared" si="79"/>
        <v/>
      </c>
      <c r="M1000" s="23"/>
      <c r="Q1000" s="12"/>
      <c r="S1000"/>
    </row>
    <row r="1001" spans="1:19" x14ac:dyDescent="0.25">
      <c r="A1001" s="12" t="str">
        <f t="shared" si="77"/>
        <v/>
      </c>
      <c r="B1001" s="16"/>
      <c r="C1001" s="17"/>
      <c r="D1001" s="18"/>
      <c r="E1001" s="29"/>
      <c r="F1001" s="39"/>
      <c r="G1001" s="40"/>
      <c r="H1001" s="41"/>
      <c r="I1001" s="42"/>
      <c r="J1001" s="82">
        <f t="shared" si="78"/>
        <v>0</v>
      </c>
      <c r="K1001" s="43"/>
      <c r="L1001" s="83" t="str">
        <f t="shared" si="79"/>
        <v/>
      </c>
      <c r="M1001" s="53"/>
      <c r="Q1001" s="12"/>
      <c r="S1001"/>
    </row>
    <row r="1002" spans="1:19" x14ac:dyDescent="0.25">
      <c r="A1002" s="12" t="str">
        <f t="shared" si="77"/>
        <v/>
      </c>
      <c r="B1002" s="16"/>
      <c r="C1002" s="17"/>
      <c r="D1002" s="18"/>
      <c r="E1002" s="29"/>
      <c r="F1002" s="27"/>
      <c r="G1002" s="28"/>
      <c r="H1002" s="19"/>
      <c r="I1002" s="23"/>
      <c r="J1002" s="82">
        <f t="shared" si="78"/>
        <v>0</v>
      </c>
      <c r="K1002" s="30"/>
      <c r="L1002" s="83" t="str">
        <f t="shared" si="79"/>
        <v/>
      </c>
      <c r="M1002" s="23"/>
      <c r="Q1002" s="12"/>
      <c r="S1002"/>
    </row>
    <row r="1003" spans="1:19" x14ac:dyDescent="0.25">
      <c r="A1003" s="12" t="str">
        <f t="shared" si="77"/>
        <v/>
      </c>
      <c r="B1003" s="16"/>
      <c r="C1003" s="17"/>
      <c r="D1003" s="18"/>
      <c r="E1003" s="29"/>
      <c r="F1003" s="39"/>
      <c r="G1003" s="40"/>
      <c r="H1003" s="41"/>
      <c r="I1003" s="42"/>
      <c r="J1003" s="82">
        <f t="shared" si="78"/>
        <v>0</v>
      </c>
      <c r="K1003" s="43"/>
      <c r="L1003" s="83" t="str">
        <f t="shared" si="79"/>
        <v/>
      </c>
      <c r="M1003" s="53"/>
      <c r="Q1003" s="12"/>
      <c r="S1003"/>
    </row>
    <row r="1004" spans="1:19" x14ac:dyDescent="0.25">
      <c r="A1004" s="12" t="str">
        <f t="shared" si="77"/>
        <v/>
      </c>
      <c r="B1004" s="16"/>
      <c r="C1004" s="17"/>
      <c r="D1004" s="18"/>
      <c r="E1004" s="29"/>
      <c r="F1004" s="27"/>
      <c r="G1004" s="28"/>
      <c r="H1004" s="19"/>
      <c r="I1004" s="23"/>
      <c r="J1004" s="82">
        <f t="shared" si="78"/>
        <v>0</v>
      </c>
      <c r="K1004" s="30"/>
      <c r="L1004" s="83" t="str">
        <f t="shared" si="79"/>
        <v/>
      </c>
      <c r="M1004" s="23"/>
      <c r="Q1004" s="12"/>
      <c r="S1004"/>
    </row>
    <row r="1005" spans="1:19" x14ac:dyDescent="0.25">
      <c r="A1005" s="12" t="str">
        <f t="shared" si="77"/>
        <v/>
      </c>
      <c r="B1005" s="16"/>
      <c r="C1005" s="17"/>
      <c r="D1005" s="18"/>
      <c r="E1005" s="29"/>
      <c r="F1005" s="39"/>
      <c r="G1005" s="40"/>
      <c r="H1005" s="41"/>
      <c r="I1005" s="42"/>
      <c r="J1005" s="82">
        <f t="shared" si="78"/>
        <v>0</v>
      </c>
      <c r="K1005" s="43"/>
      <c r="L1005" s="83" t="str">
        <f t="shared" si="79"/>
        <v/>
      </c>
      <c r="M1005" s="53"/>
      <c r="Q1005" s="12"/>
      <c r="S1005"/>
    </row>
    <row r="1006" spans="1:19" x14ac:dyDescent="0.25">
      <c r="A1006" s="12" t="str">
        <f t="shared" si="77"/>
        <v/>
      </c>
      <c r="B1006" s="16"/>
      <c r="C1006" s="17"/>
      <c r="D1006" s="18"/>
      <c r="E1006" s="29"/>
      <c r="F1006" s="27"/>
      <c r="G1006" s="28"/>
      <c r="H1006" s="19"/>
      <c r="I1006" s="23"/>
      <c r="J1006" s="82">
        <f t="shared" si="78"/>
        <v>0</v>
      </c>
      <c r="K1006" s="30"/>
      <c r="L1006" s="83" t="str">
        <f t="shared" si="79"/>
        <v/>
      </c>
      <c r="M1006" s="23"/>
      <c r="Q1006" s="12"/>
      <c r="S1006"/>
    </row>
    <row r="1007" spans="1:19" x14ac:dyDescent="0.25">
      <c r="A1007" s="12" t="str">
        <f t="shared" si="77"/>
        <v/>
      </c>
      <c r="B1007" s="16"/>
      <c r="C1007" s="17"/>
      <c r="D1007" s="18"/>
      <c r="E1007" s="29"/>
      <c r="F1007" s="39"/>
      <c r="G1007" s="40"/>
      <c r="H1007" s="41"/>
      <c r="I1007" s="42"/>
      <c r="J1007" s="82">
        <f t="shared" si="78"/>
        <v>0</v>
      </c>
      <c r="K1007" s="43"/>
      <c r="L1007" s="83" t="str">
        <f t="shared" si="79"/>
        <v/>
      </c>
      <c r="M1007" s="53"/>
      <c r="Q1007" s="12"/>
      <c r="S1007"/>
    </row>
    <row r="1008" spans="1:19" x14ac:dyDescent="0.25">
      <c r="A1008" s="12" t="str">
        <f t="shared" si="77"/>
        <v/>
      </c>
      <c r="B1008" s="16"/>
      <c r="C1008" s="17"/>
      <c r="D1008" s="18"/>
      <c r="E1008" s="29"/>
      <c r="F1008" s="27"/>
      <c r="G1008" s="28"/>
      <c r="H1008" s="19"/>
      <c r="I1008" s="23"/>
      <c r="J1008" s="82">
        <f t="shared" si="78"/>
        <v>0</v>
      </c>
      <c r="K1008" s="30"/>
      <c r="L1008" s="83" t="str">
        <f t="shared" si="79"/>
        <v/>
      </c>
      <c r="M1008" s="23"/>
      <c r="Q1008" s="12"/>
      <c r="S1008"/>
    </row>
    <row r="1009" spans="1:19" x14ac:dyDescent="0.25">
      <c r="A1009" s="12" t="str">
        <f t="shared" si="77"/>
        <v/>
      </c>
      <c r="B1009" s="16"/>
      <c r="C1009" s="17"/>
      <c r="D1009" s="18"/>
      <c r="E1009" s="29"/>
      <c r="F1009" s="39"/>
      <c r="G1009" s="40"/>
      <c r="H1009" s="41"/>
      <c r="I1009" s="42"/>
      <c r="J1009" s="82">
        <f t="shared" si="78"/>
        <v>0</v>
      </c>
      <c r="K1009" s="43"/>
      <c r="L1009" s="83" t="str">
        <f t="shared" si="79"/>
        <v/>
      </c>
      <c r="M1009" s="53"/>
      <c r="Q1009" s="12"/>
      <c r="S1009"/>
    </row>
    <row r="1010" spans="1:19" x14ac:dyDescent="0.25">
      <c r="A1010" s="12" t="str">
        <f t="shared" si="77"/>
        <v/>
      </c>
      <c r="B1010" s="16"/>
      <c r="C1010" s="17"/>
      <c r="D1010" s="18"/>
      <c r="E1010" s="29"/>
      <c r="F1010" s="27"/>
      <c r="G1010" s="28"/>
      <c r="H1010" s="19"/>
      <c r="I1010" s="23"/>
      <c r="J1010" s="82">
        <f t="shared" si="78"/>
        <v>0</v>
      </c>
      <c r="K1010" s="30"/>
      <c r="L1010" s="83" t="str">
        <f t="shared" si="79"/>
        <v/>
      </c>
      <c r="M1010" s="23"/>
      <c r="Q1010" s="12"/>
      <c r="S1010"/>
    </row>
    <row r="1011" spans="1:19" x14ac:dyDescent="0.25">
      <c r="A1011" s="12" t="str">
        <f t="shared" si="77"/>
        <v/>
      </c>
      <c r="B1011" s="16"/>
      <c r="C1011" s="17"/>
      <c r="D1011" s="18"/>
      <c r="E1011" s="29"/>
      <c r="F1011" s="39"/>
      <c r="G1011" s="40"/>
      <c r="H1011" s="41"/>
      <c r="I1011" s="42"/>
      <c r="J1011" s="82">
        <f t="shared" si="78"/>
        <v>0</v>
      </c>
      <c r="K1011" s="43"/>
      <c r="L1011" s="83" t="str">
        <f t="shared" si="79"/>
        <v/>
      </c>
      <c r="M1011" s="53"/>
      <c r="Q1011" s="12"/>
      <c r="S1011"/>
    </row>
    <row r="1012" spans="1:19" x14ac:dyDescent="0.25">
      <c r="A1012" s="12" t="str">
        <f t="shared" ref="A1012:A1075" si="80">IFERROR(DATE(B1012,C1012,D1012),"")</f>
        <v/>
      </c>
      <c r="B1012" s="16"/>
      <c r="C1012" s="17"/>
      <c r="D1012" s="18"/>
      <c r="E1012" s="29"/>
      <c r="F1012" s="27"/>
      <c r="G1012" s="28"/>
      <c r="H1012" s="19"/>
      <c r="I1012" s="23"/>
      <c r="J1012" s="82">
        <f t="shared" ref="J1012:J1075" si="81">IF(E1012="entrada",H1012*I1012,H1012*I1012*-1)</f>
        <v>0</v>
      </c>
      <c r="K1012" s="30"/>
      <c r="L1012" s="83" t="str">
        <f t="shared" ref="L1012:L1075" si="82">IF(J1012=0,"",SUM(L1011,J1012))</f>
        <v/>
      </c>
      <c r="M1012" s="23"/>
      <c r="Q1012" s="12"/>
      <c r="S1012"/>
    </row>
    <row r="1013" spans="1:19" x14ac:dyDescent="0.25">
      <c r="A1013" s="12" t="str">
        <f t="shared" si="80"/>
        <v/>
      </c>
      <c r="B1013" s="16"/>
      <c r="C1013" s="17"/>
      <c r="D1013" s="18"/>
      <c r="E1013" s="29"/>
      <c r="F1013" s="39"/>
      <c r="G1013" s="40"/>
      <c r="H1013" s="41"/>
      <c r="I1013" s="42"/>
      <c r="J1013" s="82">
        <f t="shared" si="81"/>
        <v>0</v>
      </c>
      <c r="K1013" s="43"/>
      <c r="L1013" s="83" t="str">
        <f t="shared" si="82"/>
        <v/>
      </c>
      <c r="M1013" s="53"/>
      <c r="Q1013" s="12"/>
      <c r="S1013"/>
    </row>
    <row r="1014" spans="1:19" x14ac:dyDescent="0.25">
      <c r="A1014" s="12" t="str">
        <f t="shared" si="80"/>
        <v/>
      </c>
      <c r="B1014" s="16"/>
      <c r="C1014" s="17"/>
      <c r="D1014" s="18"/>
      <c r="E1014" s="29"/>
      <c r="F1014" s="27"/>
      <c r="G1014" s="28"/>
      <c r="H1014" s="19"/>
      <c r="I1014" s="23"/>
      <c r="J1014" s="82">
        <f t="shared" si="81"/>
        <v>0</v>
      </c>
      <c r="K1014" s="30"/>
      <c r="L1014" s="83" t="str">
        <f t="shared" si="82"/>
        <v/>
      </c>
      <c r="M1014" s="23"/>
      <c r="Q1014" s="12"/>
      <c r="S1014"/>
    </row>
    <row r="1015" spans="1:19" x14ac:dyDescent="0.25">
      <c r="A1015" s="12" t="str">
        <f t="shared" si="80"/>
        <v/>
      </c>
      <c r="B1015" s="16"/>
      <c r="C1015" s="17"/>
      <c r="D1015" s="18"/>
      <c r="E1015" s="29"/>
      <c r="F1015" s="39"/>
      <c r="G1015" s="40"/>
      <c r="H1015" s="41"/>
      <c r="I1015" s="42"/>
      <c r="J1015" s="82">
        <f t="shared" si="81"/>
        <v>0</v>
      </c>
      <c r="K1015" s="43"/>
      <c r="L1015" s="83" t="str">
        <f t="shared" si="82"/>
        <v/>
      </c>
      <c r="M1015" s="53"/>
      <c r="Q1015" s="12"/>
      <c r="S1015"/>
    </row>
    <row r="1016" spans="1:19" x14ac:dyDescent="0.25">
      <c r="A1016" s="12" t="str">
        <f t="shared" si="80"/>
        <v/>
      </c>
      <c r="B1016" s="16"/>
      <c r="C1016" s="17"/>
      <c r="D1016" s="18"/>
      <c r="E1016" s="29"/>
      <c r="F1016" s="27"/>
      <c r="G1016" s="28"/>
      <c r="H1016" s="19"/>
      <c r="I1016" s="23"/>
      <c r="J1016" s="82">
        <f t="shared" si="81"/>
        <v>0</v>
      </c>
      <c r="K1016" s="30"/>
      <c r="L1016" s="83" t="str">
        <f t="shared" si="82"/>
        <v/>
      </c>
      <c r="M1016" s="23"/>
      <c r="Q1016" s="12"/>
      <c r="S1016"/>
    </row>
    <row r="1017" spans="1:19" x14ac:dyDescent="0.25">
      <c r="A1017" s="12" t="str">
        <f t="shared" si="80"/>
        <v/>
      </c>
      <c r="B1017" s="16"/>
      <c r="C1017" s="17"/>
      <c r="D1017" s="18"/>
      <c r="E1017" s="29"/>
      <c r="F1017" s="39"/>
      <c r="G1017" s="40"/>
      <c r="H1017" s="41"/>
      <c r="I1017" s="42"/>
      <c r="J1017" s="82">
        <f t="shared" si="81"/>
        <v>0</v>
      </c>
      <c r="K1017" s="43"/>
      <c r="L1017" s="83" t="str">
        <f t="shared" si="82"/>
        <v/>
      </c>
      <c r="M1017" s="53"/>
      <c r="Q1017" s="12"/>
      <c r="S1017"/>
    </row>
    <row r="1018" spans="1:19" x14ac:dyDescent="0.25">
      <c r="A1018" s="12" t="str">
        <f t="shared" si="80"/>
        <v/>
      </c>
      <c r="B1018" s="16"/>
      <c r="C1018" s="17"/>
      <c r="D1018" s="18"/>
      <c r="E1018" s="29"/>
      <c r="F1018" s="27"/>
      <c r="G1018" s="28"/>
      <c r="H1018" s="19"/>
      <c r="I1018" s="23"/>
      <c r="J1018" s="82">
        <f t="shared" si="81"/>
        <v>0</v>
      </c>
      <c r="K1018" s="30"/>
      <c r="L1018" s="83" t="str">
        <f t="shared" si="82"/>
        <v/>
      </c>
      <c r="M1018" s="23"/>
      <c r="Q1018" s="12"/>
      <c r="S1018"/>
    </row>
    <row r="1019" spans="1:19" x14ac:dyDescent="0.25">
      <c r="A1019" s="12" t="str">
        <f t="shared" si="80"/>
        <v/>
      </c>
      <c r="B1019" s="16"/>
      <c r="C1019" s="17"/>
      <c r="D1019" s="18"/>
      <c r="E1019" s="29"/>
      <c r="F1019" s="39"/>
      <c r="G1019" s="40"/>
      <c r="H1019" s="41"/>
      <c r="I1019" s="42"/>
      <c r="J1019" s="82">
        <f t="shared" si="81"/>
        <v>0</v>
      </c>
      <c r="K1019" s="43"/>
      <c r="L1019" s="83" t="str">
        <f t="shared" si="82"/>
        <v/>
      </c>
      <c r="M1019" s="53"/>
      <c r="Q1019" s="12"/>
      <c r="S1019"/>
    </row>
    <row r="1020" spans="1:19" x14ac:dyDescent="0.25">
      <c r="A1020" s="12" t="str">
        <f t="shared" si="80"/>
        <v/>
      </c>
      <c r="B1020" s="16"/>
      <c r="C1020" s="17"/>
      <c r="D1020" s="18"/>
      <c r="E1020" s="29"/>
      <c r="F1020" s="27"/>
      <c r="G1020" s="28"/>
      <c r="H1020" s="19"/>
      <c r="I1020" s="23"/>
      <c r="J1020" s="82">
        <f t="shared" si="81"/>
        <v>0</v>
      </c>
      <c r="K1020" s="30"/>
      <c r="L1020" s="83" t="str">
        <f t="shared" si="82"/>
        <v/>
      </c>
      <c r="M1020" s="23"/>
      <c r="Q1020" s="12"/>
      <c r="S1020"/>
    </row>
    <row r="1021" spans="1:19" x14ac:dyDescent="0.25">
      <c r="A1021" s="12" t="str">
        <f t="shared" si="80"/>
        <v/>
      </c>
      <c r="B1021" s="16"/>
      <c r="C1021" s="17"/>
      <c r="D1021" s="18"/>
      <c r="E1021" s="29"/>
      <c r="F1021" s="39"/>
      <c r="G1021" s="40"/>
      <c r="H1021" s="41"/>
      <c r="I1021" s="42"/>
      <c r="J1021" s="82">
        <f t="shared" si="81"/>
        <v>0</v>
      </c>
      <c r="K1021" s="43"/>
      <c r="L1021" s="83" t="str">
        <f t="shared" si="82"/>
        <v/>
      </c>
      <c r="M1021" s="53"/>
      <c r="Q1021" s="12"/>
      <c r="S1021"/>
    </row>
    <row r="1022" spans="1:19" x14ac:dyDescent="0.25">
      <c r="A1022" s="12" t="str">
        <f t="shared" si="80"/>
        <v/>
      </c>
      <c r="B1022" s="16"/>
      <c r="C1022" s="17"/>
      <c r="D1022" s="18"/>
      <c r="E1022" s="29"/>
      <c r="F1022" s="27"/>
      <c r="G1022" s="28"/>
      <c r="H1022" s="19"/>
      <c r="I1022" s="23"/>
      <c r="J1022" s="82">
        <f t="shared" si="81"/>
        <v>0</v>
      </c>
      <c r="K1022" s="30"/>
      <c r="L1022" s="83" t="str">
        <f t="shared" si="82"/>
        <v/>
      </c>
      <c r="M1022" s="23"/>
      <c r="Q1022" s="12"/>
      <c r="S1022"/>
    </row>
    <row r="1023" spans="1:19" x14ac:dyDescent="0.25">
      <c r="A1023" s="12" t="str">
        <f t="shared" si="80"/>
        <v/>
      </c>
      <c r="B1023" s="16"/>
      <c r="C1023" s="17"/>
      <c r="D1023" s="18"/>
      <c r="E1023" s="29"/>
      <c r="F1023" s="39"/>
      <c r="G1023" s="40"/>
      <c r="H1023" s="41"/>
      <c r="I1023" s="42"/>
      <c r="J1023" s="82">
        <f t="shared" si="81"/>
        <v>0</v>
      </c>
      <c r="K1023" s="43"/>
      <c r="L1023" s="83" t="str">
        <f t="shared" si="82"/>
        <v/>
      </c>
      <c r="M1023" s="53"/>
      <c r="Q1023" s="12"/>
      <c r="S1023"/>
    </row>
    <row r="1024" spans="1:19" x14ac:dyDescent="0.25">
      <c r="A1024" s="12" t="str">
        <f t="shared" si="80"/>
        <v/>
      </c>
      <c r="B1024" s="16"/>
      <c r="C1024" s="17"/>
      <c r="D1024" s="18"/>
      <c r="E1024" s="29"/>
      <c r="F1024" s="27"/>
      <c r="G1024" s="28"/>
      <c r="H1024" s="19"/>
      <c r="I1024" s="23"/>
      <c r="J1024" s="82">
        <f t="shared" si="81"/>
        <v>0</v>
      </c>
      <c r="K1024" s="30"/>
      <c r="L1024" s="83" t="str">
        <f t="shared" si="82"/>
        <v/>
      </c>
      <c r="M1024" s="23"/>
      <c r="Q1024" s="12"/>
      <c r="S1024"/>
    </row>
    <row r="1025" spans="1:19" x14ac:dyDescent="0.25">
      <c r="A1025" s="12" t="str">
        <f t="shared" si="80"/>
        <v/>
      </c>
      <c r="B1025" s="16"/>
      <c r="C1025" s="17"/>
      <c r="D1025" s="18"/>
      <c r="E1025" s="29"/>
      <c r="F1025" s="39"/>
      <c r="G1025" s="40"/>
      <c r="H1025" s="41"/>
      <c r="I1025" s="42"/>
      <c r="J1025" s="82">
        <f t="shared" si="81"/>
        <v>0</v>
      </c>
      <c r="K1025" s="43"/>
      <c r="L1025" s="83" t="str">
        <f t="shared" si="82"/>
        <v/>
      </c>
      <c r="M1025" s="53"/>
      <c r="Q1025" s="12"/>
      <c r="S1025"/>
    </row>
    <row r="1026" spans="1:19" x14ac:dyDescent="0.25">
      <c r="A1026" s="12" t="str">
        <f t="shared" si="80"/>
        <v/>
      </c>
      <c r="B1026" s="16"/>
      <c r="C1026" s="17"/>
      <c r="D1026" s="18"/>
      <c r="E1026" s="29"/>
      <c r="F1026" s="27"/>
      <c r="G1026" s="28"/>
      <c r="H1026" s="19"/>
      <c r="I1026" s="23"/>
      <c r="J1026" s="82">
        <f t="shared" si="81"/>
        <v>0</v>
      </c>
      <c r="K1026" s="30"/>
      <c r="L1026" s="83" t="str">
        <f t="shared" si="82"/>
        <v/>
      </c>
      <c r="M1026" s="23"/>
      <c r="Q1026" s="12"/>
      <c r="S1026"/>
    </row>
    <row r="1027" spans="1:19" x14ac:dyDescent="0.25">
      <c r="A1027" s="12" t="str">
        <f t="shared" si="80"/>
        <v/>
      </c>
      <c r="B1027" s="16"/>
      <c r="C1027" s="17"/>
      <c r="D1027" s="18"/>
      <c r="E1027" s="29"/>
      <c r="F1027" s="39"/>
      <c r="G1027" s="40"/>
      <c r="H1027" s="41"/>
      <c r="I1027" s="42"/>
      <c r="J1027" s="82">
        <f t="shared" si="81"/>
        <v>0</v>
      </c>
      <c r="K1027" s="43"/>
      <c r="L1027" s="83" t="str">
        <f t="shared" si="82"/>
        <v/>
      </c>
      <c r="M1027" s="53"/>
      <c r="Q1027" s="12"/>
      <c r="S1027"/>
    </row>
    <row r="1028" spans="1:19" x14ac:dyDescent="0.25">
      <c r="A1028" s="12" t="str">
        <f t="shared" si="80"/>
        <v/>
      </c>
      <c r="B1028" s="16"/>
      <c r="C1028" s="17"/>
      <c r="D1028" s="18"/>
      <c r="E1028" s="29"/>
      <c r="F1028" s="27"/>
      <c r="G1028" s="28"/>
      <c r="H1028" s="19"/>
      <c r="I1028" s="23"/>
      <c r="J1028" s="82">
        <f t="shared" si="81"/>
        <v>0</v>
      </c>
      <c r="K1028" s="30"/>
      <c r="L1028" s="83" t="str">
        <f t="shared" si="82"/>
        <v/>
      </c>
      <c r="M1028" s="23"/>
      <c r="Q1028" s="12"/>
      <c r="S1028"/>
    </row>
    <row r="1029" spans="1:19" x14ac:dyDescent="0.25">
      <c r="A1029" s="12" t="str">
        <f t="shared" si="80"/>
        <v/>
      </c>
      <c r="B1029" s="16"/>
      <c r="C1029" s="17"/>
      <c r="D1029" s="18"/>
      <c r="E1029" s="29"/>
      <c r="F1029" s="39"/>
      <c r="G1029" s="40"/>
      <c r="H1029" s="41"/>
      <c r="I1029" s="42"/>
      <c r="J1029" s="82">
        <f t="shared" si="81"/>
        <v>0</v>
      </c>
      <c r="K1029" s="43"/>
      <c r="L1029" s="83" t="str">
        <f t="shared" si="82"/>
        <v/>
      </c>
      <c r="M1029" s="53"/>
      <c r="Q1029" s="12"/>
      <c r="S1029"/>
    </row>
    <row r="1030" spans="1:19" x14ac:dyDescent="0.25">
      <c r="A1030" s="12" t="str">
        <f t="shared" si="80"/>
        <v/>
      </c>
      <c r="B1030" s="16"/>
      <c r="C1030" s="17"/>
      <c r="D1030" s="18"/>
      <c r="E1030" s="29"/>
      <c r="F1030" s="27"/>
      <c r="G1030" s="28"/>
      <c r="H1030" s="19"/>
      <c r="I1030" s="23"/>
      <c r="J1030" s="82">
        <f t="shared" si="81"/>
        <v>0</v>
      </c>
      <c r="K1030" s="30"/>
      <c r="L1030" s="83" t="str">
        <f t="shared" si="82"/>
        <v/>
      </c>
      <c r="M1030" s="23"/>
      <c r="Q1030" s="12"/>
      <c r="S1030"/>
    </row>
    <row r="1031" spans="1:19" x14ac:dyDescent="0.25">
      <c r="A1031" s="12" t="str">
        <f t="shared" si="80"/>
        <v/>
      </c>
      <c r="B1031" s="16"/>
      <c r="C1031" s="17"/>
      <c r="D1031" s="18"/>
      <c r="E1031" s="29"/>
      <c r="F1031" s="39"/>
      <c r="G1031" s="40"/>
      <c r="H1031" s="41"/>
      <c r="I1031" s="42"/>
      <c r="J1031" s="82">
        <f t="shared" si="81"/>
        <v>0</v>
      </c>
      <c r="K1031" s="43"/>
      <c r="L1031" s="83" t="str">
        <f t="shared" si="82"/>
        <v/>
      </c>
      <c r="M1031" s="53"/>
      <c r="Q1031" s="12"/>
      <c r="S1031"/>
    </row>
    <row r="1032" spans="1:19" x14ac:dyDescent="0.25">
      <c r="A1032" s="12" t="str">
        <f t="shared" si="80"/>
        <v/>
      </c>
      <c r="B1032" s="16"/>
      <c r="C1032" s="17"/>
      <c r="D1032" s="18"/>
      <c r="E1032" s="29"/>
      <c r="F1032" s="27"/>
      <c r="G1032" s="28"/>
      <c r="H1032" s="19"/>
      <c r="I1032" s="23"/>
      <c r="J1032" s="82">
        <f t="shared" si="81"/>
        <v>0</v>
      </c>
      <c r="K1032" s="30"/>
      <c r="L1032" s="83" t="str">
        <f t="shared" si="82"/>
        <v/>
      </c>
      <c r="M1032" s="23"/>
      <c r="Q1032" s="12"/>
      <c r="S1032"/>
    </row>
    <row r="1033" spans="1:19" x14ac:dyDescent="0.25">
      <c r="A1033" s="12" t="str">
        <f t="shared" si="80"/>
        <v/>
      </c>
      <c r="B1033" s="16"/>
      <c r="C1033" s="17"/>
      <c r="D1033" s="18"/>
      <c r="E1033" s="29"/>
      <c r="F1033" s="39"/>
      <c r="G1033" s="40"/>
      <c r="H1033" s="41"/>
      <c r="I1033" s="42"/>
      <c r="J1033" s="82">
        <f t="shared" si="81"/>
        <v>0</v>
      </c>
      <c r="K1033" s="43"/>
      <c r="L1033" s="83" t="str">
        <f t="shared" si="82"/>
        <v/>
      </c>
      <c r="M1033" s="53"/>
      <c r="Q1033" s="12"/>
      <c r="S1033"/>
    </row>
    <row r="1034" spans="1:19" x14ac:dyDescent="0.25">
      <c r="A1034" s="12" t="str">
        <f t="shared" si="80"/>
        <v/>
      </c>
      <c r="B1034" s="16"/>
      <c r="C1034" s="17"/>
      <c r="D1034" s="18"/>
      <c r="E1034" s="29"/>
      <c r="F1034" s="27"/>
      <c r="G1034" s="28"/>
      <c r="H1034" s="19"/>
      <c r="I1034" s="23"/>
      <c r="J1034" s="82">
        <f t="shared" si="81"/>
        <v>0</v>
      </c>
      <c r="K1034" s="30"/>
      <c r="L1034" s="83" t="str">
        <f t="shared" si="82"/>
        <v/>
      </c>
      <c r="M1034" s="23"/>
      <c r="Q1034" s="12"/>
      <c r="S1034"/>
    </row>
    <row r="1035" spans="1:19" x14ac:dyDescent="0.25">
      <c r="A1035" s="12" t="str">
        <f t="shared" si="80"/>
        <v/>
      </c>
      <c r="B1035" s="16"/>
      <c r="C1035" s="17"/>
      <c r="D1035" s="18"/>
      <c r="E1035" s="29"/>
      <c r="F1035" s="39"/>
      <c r="G1035" s="40"/>
      <c r="H1035" s="41"/>
      <c r="I1035" s="42"/>
      <c r="J1035" s="82">
        <f t="shared" si="81"/>
        <v>0</v>
      </c>
      <c r="K1035" s="43"/>
      <c r="L1035" s="83" t="str">
        <f t="shared" si="82"/>
        <v/>
      </c>
      <c r="M1035" s="53"/>
      <c r="Q1035" s="12"/>
      <c r="S1035"/>
    </row>
    <row r="1036" spans="1:19" x14ac:dyDescent="0.25">
      <c r="A1036" s="12" t="str">
        <f t="shared" si="80"/>
        <v/>
      </c>
      <c r="B1036" s="16"/>
      <c r="C1036" s="17"/>
      <c r="D1036" s="18"/>
      <c r="E1036" s="29"/>
      <c r="F1036" s="27"/>
      <c r="G1036" s="28"/>
      <c r="H1036" s="19"/>
      <c r="I1036" s="23"/>
      <c r="J1036" s="82">
        <f t="shared" si="81"/>
        <v>0</v>
      </c>
      <c r="K1036" s="30"/>
      <c r="L1036" s="83" t="str">
        <f t="shared" si="82"/>
        <v/>
      </c>
      <c r="M1036" s="23"/>
      <c r="Q1036" s="12"/>
      <c r="S1036"/>
    </row>
    <row r="1037" spans="1:19" x14ac:dyDescent="0.25">
      <c r="A1037" s="12" t="str">
        <f t="shared" si="80"/>
        <v/>
      </c>
      <c r="B1037" s="16"/>
      <c r="C1037" s="17"/>
      <c r="D1037" s="18"/>
      <c r="E1037" s="29"/>
      <c r="F1037" s="39"/>
      <c r="G1037" s="40"/>
      <c r="H1037" s="41"/>
      <c r="I1037" s="42"/>
      <c r="J1037" s="82">
        <f t="shared" si="81"/>
        <v>0</v>
      </c>
      <c r="K1037" s="43"/>
      <c r="L1037" s="83" t="str">
        <f t="shared" si="82"/>
        <v/>
      </c>
      <c r="M1037" s="53"/>
      <c r="Q1037" s="12"/>
      <c r="S1037"/>
    </row>
    <row r="1038" spans="1:19" x14ac:dyDescent="0.25">
      <c r="A1038" s="12" t="str">
        <f t="shared" si="80"/>
        <v/>
      </c>
      <c r="B1038" s="16"/>
      <c r="C1038" s="17"/>
      <c r="D1038" s="18"/>
      <c r="E1038" s="29"/>
      <c r="F1038" s="27"/>
      <c r="G1038" s="28"/>
      <c r="H1038" s="19"/>
      <c r="I1038" s="23"/>
      <c r="J1038" s="82">
        <f t="shared" si="81"/>
        <v>0</v>
      </c>
      <c r="K1038" s="30"/>
      <c r="L1038" s="83" t="str">
        <f t="shared" si="82"/>
        <v/>
      </c>
      <c r="M1038" s="23"/>
      <c r="Q1038" s="12"/>
      <c r="S1038"/>
    </row>
    <row r="1039" spans="1:19" x14ac:dyDescent="0.25">
      <c r="A1039" s="12" t="str">
        <f t="shared" si="80"/>
        <v/>
      </c>
      <c r="B1039" s="16"/>
      <c r="C1039" s="17"/>
      <c r="D1039" s="18"/>
      <c r="E1039" s="29"/>
      <c r="F1039" s="39"/>
      <c r="G1039" s="40"/>
      <c r="H1039" s="41"/>
      <c r="I1039" s="42"/>
      <c r="J1039" s="82">
        <f t="shared" si="81"/>
        <v>0</v>
      </c>
      <c r="K1039" s="43"/>
      <c r="L1039" s="83" t="str">
        <f t="shared" si="82"/>
        <v/>
      </c>
      <c r="M1039" s="53"/>
      <c r="Q1039" s="12"/>
      <c r="S1039"/>
    </row>
    <row r="1040" spans="1:19" x14ac:dyDescent="0.25">
      <c r="A1040" s="12" t="str">
        <f t="shared" si="80"/>
        <v/>
      </c>
      <c r="B1040" s="16"/>
      <c r="C1040" s="17"/>
      <c r="D1040" s="18"/>
      <c r="E1040" s="29"/>
      <c r="F1040" s="27"/>
      <c r="G1040" s="28"/>
      <c r="H1040" s="19"/>
      <c r="I1040" s="23"/>
      <c r="J1040" s="82">
        <f t="shared" si="81"/>
        <v>0</v>
      </c>
      <c r="K1040" s="30"/>
      <c r="L1040" s="83" t="str">
        <f t="shared" si="82"/>
        <v/>
      </c>
      <c r="M1040" s="23"/>
      <c r="Q1040" s="12"/>
      <c r="S1040"/>
    </row>
    <row r="1041" spans="1:19" x14ac:dyDescent="0.25">
      <c r="A1041" s="12" t="str">
        <f t="shared" si="80"/>
        <v/>
      </c>
      <c r="B1041" s="16"/>
      <c r="C1041" s="17"/>
      <c r="D1041" s="18"/>
      <c r="E1041" s="29"/>
      <c r="F1041" s="39"/>
      <c r="G1041" s="40"/>
      <c r="H1041" s="41"/>
      <c r="I1041" s="42"/>
      <c r="J1041" s="82">
        <f t="shared" si="81"/>
        <v>0</v>
      </c>
      <c r="K1041" s="43"/>
      <c r="L1041" s="83" t="str">
        <f t="shared" si="82"/>
        <v/>
      </c>
      <c r="M1041" s="53"/>
      <c r="Q1041" s="12"/>
      <c r="S1041"/>
    </row>
    <row r="1042" spans="1:19" x14ac:dyDescent="0.25">
      <c r="A1042" s="12" t="str">
        <f t="shared" si="80"/>
        <v/>
      </c>
      <c r="B1042" s="16"/>
      <c r="C1042" s="17"/>
      <c r="D1042" s="18"/>
      <c r="E1042" s="29"/>
      <c r="F1042" s="27"/>
      <c r="G1042" s="28"/>
      <c r="H1042" s="19"/>
      <c r="I1042" s="23"/>
      <c r="J1042" s="82">
        <f t="shared" si="81"/>
        <v>0</v>
      </c>
      <c r="K1042" s="30"/>
      <c r="L1042" s="83" t="str">
        <f t="shared" si="82"/>
        <v/>
      </c>
      <c r="M1042" s="23"/>
      <c r="Q1042" s="12"/>
      <c r="S1042"/>
    </row>
    <row r="1043" spans="1:19" x14ac:dyDescent="0.25">
      <c r="A1043" s="12" t="str">
        <f t="shared" si="80"/>
        <v/>
      </c>
      <c r="B1043" s="16"/>
      <c r="C1043" s="17"/>
      <c r="D1043" s="18"/>
      <c r="E1043" s="29"/>
      <c r="F1043" s="39"/>
      <c r="G1043" s="40"/>
      <c r="H1043" s="41"/>
      <c r="I1043" s="42"/>
      <c r="J1043" s="82">
        <f t="shared" si="81"/>
        <v>0</v>
      </c>
      <c r="K1043" s="43"/>
      <c r="L1043" s="83" t="str">
        <f t="shared" si="82"/>
        <v/>
      </c>
      <c r="M1043" s="53"/>
      <c r="Q1043" s="12"/>
      <c r="S1043"/>
    </row>
    <row r="1044" spans="1:19" x14ac:dyDescent="0.25">
      <c r="A1044" s="12" t="str">
        <f t="shared" si="80"/>
        <v/>
      </c>
      <c r="B1044" s="16"/>
      <c r="C1044" s="17"/>
      <c r="D1044" s="18"/>
      <c r="E1044" s="29"/>
      <c r="F1044" s="27"/>
      <c r="G1044" s="28"/>
      <c r="H1044" s="19"/>
      <c r="I1044" s="23"/>
      <c r="J1044" s="82">
        <f t="shared" si="81"/>
        <v>0</v>
      </c>
      <c r="K1044" s="30"/>
      <c r="L1044" s="83" t="str">
        <f t="shared" si="82"/>
        <v/>
      </c>
      <c r="M1044" s="23"/>
      <c r="Q1044" s="12"/>
      <c r="S1044"/>
    </row>
    <row r="1045" spans="1:19" x14ac:dyDescent="0.25">
      <c r="A1045" s="12" t="str">
        <f t="shared" si="80"/>
        <v/>
      </c>
      <c r="B1045" s="16"/>
      <c r="C1045" s="17"/>
      <c r="D1045" s="18"/>
      <c r="E1045" s="29"/>
      <c r="F1045" s="39"/>
      <c r="G1045" s="40"/>
      <c r="H1045" s="41"/>
      <c r="I1045" s="42"/>
      <c r="J1045" s="82">
        <f t="shared" si="81"/>
        <v>0</v>
      </c>
      <c r="K1045" s="43"/>
      <c r="L1045" s="83" t="str">
        <f t="shared" si="82"/>
        <v/>
      </c>
      <c r="M1045" s="53"/>
      <c r="Q1045" s="12"/>
      <c r="S1045"/>
    </row>
    <row r="1046" spans="1:19" x14ac:dyDescent="0.25">
      <c r="A1046" s="12" t="str">
        <f t="shared" si="80"/>
        <v/>
      </c>
      <c r="B1046" s="16"/>
      <c r="C1046" s="17"/>
      <c r="D1046" s="18"/>
      <c r="E1046" s="29"/>
      <c r="F1046" s="27"/>
      <c r="G1046" s="28"/>
      <c r="H1046" s="19"/>
      <c r="I1046" s="23"/>
      <c r="J1046" s="82">
        <f t="shared" si="81"/>
        <v>0</v>
      </c>
      <c r="K1046" s="30"/>
      <c r="L1046" s="83" t="str">
        <f t="shared" si="82"/>
        <v/>
      </c>
      <c r="M1046" s="23"/>
      <c r="Q1046" s="12"/>
      <c r="S1046"/>
    </row>
    <row r="1047" spans="1:19" x14ac:dyDescent="0.25">
      <c r="A1047" s="12" t="str">
        <f t="shared" si="80"/>
        <v/>
      </c>
      <c r="B1047" s="16"/>
      <c r="C1047" s="17"/>
      <c r="D1047" s="18"/>
      <c r="E1047" s="29"/>
      <c r="F1047" s="39"/>
      <c r="G1047" s="40"/>
      <c r="H1047" s="41"/>
      <c r="I1047" s="42"/>
      <c r="J1047" s="82">
        <f t="shared" si="81"/>
        <v>0</v>
      </c>
      <c r="K1047" s="43"/>
      <c r="L1047" s="83" t="str">
        <f t="shared" si="82"/>
        <v/>
      </c>
      <c r="M1047" s="53"/>
      <c r="Q1047" s="12"/>
      <c r="S1047"/>
    </row>
    <row r="1048" spans="1:19" x14ac:dyDescent="0.25">
      <c r="A1048" s="12" t="str">
        <f t="shared" si="80"/>
        <v/>
      </c>
      <c r="B1048" s="16"/>
      <c r="C1048" s="17"/>
      <c r="D1048" s="18"/>
      <c r="E1048" s="29"/>
      <c r="F1048" s="27"/>
      <c r="G1048" s="28"/>
      <c r="H1048" s="19"/>
      <c r="I1048" s="23"/>
      <c r="J1048" s="82">
        <f t="shared" si="81"/>
        <v>0</v>
      </c>
      <c r="K1048" s="30"/>
      <c r="L1048" s="83" t="str">
        <f t="shared" si="82"/>
        <v/>
      </c>
      <c r="M1048" s="23"/>
      <c r="Q1048" s="12"/>
      <c r="S1048"/>
    </row>
    <row r="1049" spans="1:19" x14ac:dyDescent="0.25">
      <c r="A1049" s="12" t="str">
        <f t="shared" si="80"/>
        <v/>
      </c>
      <c r="B1049" s="16"/>
      <c r="C1049" s="17"/>
      <c r="D1049" s="18"/>
      <c r="E1049" s="29"/>
      <c r="F1049" s="39"/>
      <c r="G1049" s="40"/>
      <c r="H1049" s="41"/>
      <c r="I1049" s="42"/>
      <c r="J1049" s="82">
        <f t="shared" si="81"/>
        <v>0</v>
      </c>
      <c r="K1049" s="43"/>
      <c r="L1049" s="83" t="str">
        <f t="shared" si="82"/>
        <v/>
      </c>
      <c r="M1049" s="53"/>
      <c r="Q1049" s="12"/>
      <c r="S1049"/>
    </row>
    <row r="1050" spans="1:19" x14ac:dyDescent="0.25">
      <c r="A1050" s="12" t="str">
        <f t="shared" si="80"/>
        <v/>
      </c>
      <c r="B1050" s="16"/>
      <c r="C1050" s="17"/>
      <c r="D1050" s="18"/>
      <c r="E1050" s="29"/>
      <c r="F1050" s="27"/>
      <c r="G1050" s="28"/>
      <c r="H1050" s="19"/>
      <c r="I1050" s="23"/>
      <c r="J1050" s="82">
        <f t="shared" si="81"/>
        <v>0</v>
      </c>
      <c r="K1050" s="30"/>
      <c r="L1050" s="83" t="str">
        <f t="shared" si="82"/>
        <v/>
      </c>
      <c r="M1050" s="23"/>
      <c r="Q1050" s="12"/>
      <c r="S1050"/>
    </row>
    <row r="1051" spans="1:19" x14ac:dyDescent="0.25">
      <c r="A1051" s="12" t="str">
        <f t="shared" si="80"/>
        <v/>
      </c>
      <c r="B1051" s="16"/>
      <c r="C1051" s="17"/>
      <c r="D1051" s="18"/>
      <c r="E1051" s="29"/>
      <c r="F1051" s="39"/>
      <c r="G1051" s="40"/>
      <c r="H1051" s="41"/>
      <c r="I1051" s="42"/>
      <c r="J1051" s="82">
        <f t="shared" si="81"/>
        <v>0</v>
      </c>
      <c r="K1051" s="43"/>
      <c r="L1051" s="83" t="str">
        <f t="shared" si="82"/>
        <v/>
      </c>
      <c r="M1051" s="53"/>
      <c r="Q1051" s="12"/>
      <c r="S1051"/>
    </row>
    <row r="1052" spans="1:19" x14ac:dyDescent="0.25">
      <c r="A1052" s="12" t="str">
        <f t="shared" si="80"/>
        <v/>
      </c>
      <c r="B1052" s="16"/>
      <c r="C1052" s="17"/>
      <c r="D1052" s="18"/>
      <c r="E1052" s="29"/>
      <c r="F1052" s="27"/>
      <c r="G1052" s="28"/>
      <c r="H1052" s="19"/>
      <c r="I1052" s="23"/>
      <c r="J1052" s="82">
        <f t="shared" si="81"/>
        <v>0</v>
      </c>
      <c r="K1052" s="30"/>
      <c r="L1052" s="83" t="str">
        <f t="shared" si="82"/>
        <v/>
      </c>
      <c r="M1052" s="23"/>
      <c r="Q1052" s="12"/>
      <c r="S1052"/>
    </row>
    <row r="1053" spans="1:19" x14ac:dyDescent="0.25">
      <c r="A1053" s="12" t="str">
        <f t="shared" si="80"/>
        <v/>
      </c>
      <c r="B1053" s="16"/>
      <c r="C1053" s="17"/>
      <c r="D1053" s="18"/>
      <c r="E1053" s="29"/>
      <c r="F1053" s="39"/>
      <c r="G1053" s="40"/>
      <c r="H1053" s="41"/>
      <c r="I1053" s="42"/>
      <c r="J1053" s="82">
        <f t="shared" si="81"/>
        <v>0</v>
      </c>
      <c r="K1053" s="43"/>
      <c r="L1053" s="83" t="str">
        <f t="shared" si="82"/>
        <v/>
      </c>
      <c r="M1053" s="53"/>
      <c r="Q1053" s="12"/>
      <c r="S1053"/>
    </row>
    <row r="1054" spans="1:19" x14ac:dyDescent="0.25">
      <c r="A1054" s="12" t="str">
        <f t="shared" si="80"/>
        <v/>
      </c>
      <c r="B1054" s="16"/>
      <c r="C1054" s="17"/>
      <c r="D1054" s="18"/>
      <c r="E1054" s="29"/>
      <c r="F1054" s="27"/>
      <c r="G1054" s="28"/>
      <c r="H1054" s="19"/>
      <c r="I1054" s="23"/>
      <c r="J1054" s="82">
        <f t="shared" si="81"/>
        <v>0</v>
      </c>
      <c r="K1054" s="30"/>
      <c r="L1054" s="83" t="str">
        <f t="shared" si="82"/>
        <v/>
      </c>
      <c r="M1054" s="23"/>
      <c r="Q1054" s="12"/>
      <c r="S1054"/>
    </row>
    <row r="1055" spans="1:19" x14ac:dyDescent="0.25">
      <c r="A1055" s="12" t="str">
        <f t="shared" si="80"/>
        <v/>
      </c>
      <c r="B1055" s="16"/>
      <c r="C1055" s="17"/>
      <c r="D1055" s="18"/>
      <c r="E1055" s="29"/>
      <c r="F1055" s="39"/>
      <c r="G1055" s="40"/>
      <c r="H1055" s="41"/>
      <c r="I1055" s="42"/>
      <c r="J1055" s="82">
        <f t="shared" si="81"/>
        <v>0</v>
      </c>
      <c r="K1055" s="43"/>
      <c r="L1055" s="83" t="str">
        <f t="shared" si="82"/>
        <v/>
      </c>
      <c r="M1055" s="53"/>
      <c r="Q1055" s="12"/>
      <c r="S1055"/>
    </row>
    <row r="1056" spans="1:19" x14ac:dyDescent="0.25">
      <c r="A1056" s="12" t="str">
        <f t="shared" si="80"/>
        <v/>
      </c>
      <c r="B1056" s="16"/>
      <c r="C1056" s="17"/>
      <c r="D1056" s="18"/>
      <c r="E1056" s="29"/>
      <c r="F1056" s="27"/>
      <c r="G1056" s="28"/>
      <c r="H1056" s="19"/>
      <c r="I1056" s="23"/>
      <c r="J1056" s="82">
        <f t="shared" si="81"/>
        <v>0</v>
      </c>
      <c r="K1056" s="30"/>
      <c r="L1056" s="83" t="str">
        <f t="shared" si="82"/>
        <v/>
      </c>
      <c r="M1056" s="23"/>
      <c r="Q1056" s="12"/>
      <c r="S1056"/>
    </row>
    <row r="1057" spans="1:19" x14ac:dyDescent="0.25">
      <c r="A1057" s="12" t="str">
        <f t="shared" si="80"/>
        <v/>
      </c>
      <c r="B1057" s="16"/>
      <c r="C1057" s="17"/>
      <c r="D1057" s="18"/>
      <c r="E1057" s="29"/>
      <c r="F1057" s="39"/>
      <c r="G1057" s="40"/>
      <c r="H1057" s="41"/>
      <c r="I1057" s="42"/>
      <c r="J1057" s="82">
        <f t="shared" si="81"/>
        <v>0</v>
      </c>
      <c r="K1057" s="43"/>
      <c r="L1057" s="83" t="str">
        <f t="shared" si="82"/>
        <v/>
      </c>
      <c r="M1057" s="53"/>
      <c r="Q1057" s="12"/>
      <c r="S1057"/>
    </row>
    <row r="1058" spans="1:19" x14ac:dyDescent="0.25">
      <c r="A1058" s="12" t="str">
        <f t="shared" si="80"/>
        <v/>
      </c>
      <c r="B1058" s="16"/>
      <c r="C1058" s="17"/>
      <c r="D1058" s="18"/>
      <c r="E1058" s="29"/>
      <c r="F1058" s="27"/>
      <c r="G1058" s="28"/>
      <c r="H1058" s="19"/>
      <c r="I1058" s="23"/>
      <c r="J1058" s="82">
        <f t="shared" si="81"/>
        <v>0</v>
      </c>
      <c r="K1058" s="30"/>
      <c r="L1058" s="83" t="str">
        <f t="shared" si="82"/>
        <v/>
      </c>
      <c r="M1058" s="23"/>
      <c r="Q1058" s="12"/>
      <c r="S1058"/>
    </row>
    <row r="1059" spans="1:19" x14ac:dyDescent="0.25">
      <c r="A1059" s="12" t="str">
        <f t="shared" si="80"/>
        <v/>
      </c>
      <c r="B1059" s="16"/>
      <c r="C1059" s="17"/>
      <c r="D1059" s="18"/>
      <c r="E1059" s="29"/>
      <c r="F1059" s="39"/>
      <c r="G1059" s="40"/>
      <c r="H1059" s="41"/>
      <c r="I1059" s="42"/>
      <c r="J1059" s="82">
        <f t="shared" si="81"/>
        <v>0</v>
      </c>
      <c r="K1059" s="43"/>
      <c r="L1059" s="83" t="str">
        <f t="shared" si="82"/>
        <v/>
      </c>
      <c r="M1059" s="53"/>
      <c r="Q1059" s="12"/>
      <c r="S1059"/>
    </row>
    <row r="1060" spans="1:19" x14ac:dyDescent="0.25">
      <c r="A1060" s="12" t="str">
        <f t="shared" si="80"/>
        <v/>
      </c>
      <c r="B1060" s="16"/>
      <c r="C1060" s="17"/>
      <c r="D1060" s="18"/>
      <c r="E1060" s="29"/>
      <c r="F1060" s="27"/>
      <c r="G1060" s="28"/>
      <c r="H1060" s="19"/>
      <c r="I1060" s="23"/>
      <c r="J1060" s="82">
        <f t="shared" si="81"/>
        <v>0</v>
      </c>
      <c r="K1060" s="30"/>
      <c r="L1060" s="83" t="str">
        <f t="shared" si="82"/>
        <v/>
      </c>
      <c r="M1060" s="23"/>
      <c r="Q1060" s="12"/>
      <c r="S1060"/>
    </row>
    <row r="1061" spans="1:19" x14ac:dyDescent="0.25">
      <c r="A1061" s="12" t="str">
        <f t="shared" si="80"/>
        <v/>
      </c>
      <c r="B1061" s="16"/>
      <c r="C1061" s="17"/>
      <c r="D1061" s="18"/>
      <c r="E1061" s="29"/>
      <c r="F1061" s="39"/>
      <c r="G1061" s="40"/>
      <c r="H1061" s="41"/>
      <c r="I1061" s="42"/>
      <c r="J1061" s="82">
        <f t="shared" si="81"/>
        <v>0</v>
      </c>
      <c r="K1061" s="43"/>
      <c r="L1061" s="83" t="str">
        <f t="shared" si="82"/>
        <v/>
      </c>
      <c r="M1061" s="53"/>
      <c r="Q1061" s="12"/>
      <c r="S1061"/>
    </row>
    <row r="1062" spans="1:19" x14ac:dyDescent="0.25">
      <c r="A1062" s="12" t="str">
        <f t="shared" si="80"/>
        <v/>
      </c>
      <c r="B1062" s="16"/>
      <c r="C1062" s="17"/>
      <c r="D1062" s="18"/>
      <c r="E1062" s="29"/>
      <c r="F1062" s="27"/>
      <c r="G1062" s="28"/>
      <c r="H1062" s="19"/>
      <c r="I1062" s="23"/>
      <c r="J1062" s="82">
        <f t="shared" si="81"/>
        <v>0</v>
      </c>
      <c r="K1062" s="30"/>
      <c r="L1062" s="83" t="str">
        <f t="shared" si="82"/>
        <v/>
      </c>
      <c r="M1062" s="23"/>
      <c r="Q1062" s="12"/>
      <c r="S1062"/>
    </row>
    <row r="1063" spans="1:19" x14ac:dyDescent="0.25">
      <c r="A1063" s="12" t="str">
        <f t="shared" si="80"/>
        <v/>
      </c>
      <c r="B1063" s="16"/>
      <c r="C1063" s="17"/>
      <c r="D1063" s="18"/>
      <c r="E1063" s="29"/>
      <c r="F1063" s="39"/>
      <c r="G1063" s="40"/>
      <c r="H1063" s="41"/>
      <c r="I1063" s="42"/>
      <c r="J1063" s="82">
        <f t="shared" si="81"/>
        <v>0</v>
      </c>
      <c r="K1063" s="43"/>
      <c r="L1063" s="83" t="str">
        <f t="shared" si="82"/>
        <v/>
      </c>
      <c r="M1063" s="53"/>
      <c r="Q1063" s="12"/>
      <c r="S1063"/>
    </row>
    <row r="1064" spans="1:19" x14ac:dyDescent="0.25">
      <c r="A1064" s="12" t="str">
        <f t="shared" si="80"/>
        <v/>
      </c>
      <c r="B1064" s="16"/>
      <c r="C1064" s="17"/>
      <c r="D1064" s="18"/>
      <c r="E1064" s="29"/>
      <c r="F1064" s="27"/>
      <c r="G1064" s="28"/>
      <c r="H1064" s="19"/>
      <c r="I1064" s="23"/>
      <c r="J1064" s="82">
        <f t="shared" si="81"/>
        <v>0</v>
      </c>
      <c r="K1064" s="30"/>
      <c r="L1064" s="83" t="str">
        <f t="shared" si="82"/>
        <v/>
      </c>
      <c r="M1064" s="23"/>
      <c r="Q1064" s="12"/>
      <c r="S1064"/>
    </row>
    <row r="1065" spans="1:19" x14ac:dyDescent="0.25">
      <c r="A1065" s="12" t="str">
        <f t="shared" si="80"/>
        <v/>
      </c>
      <c r="B1065" s="16"/>
      <c r="C1065" s="17"/>
      <c r="D1065" s="18"/>
      <c r="E1065" s="29"/>
      <c r="F1065" s="39"/>
      <c r="G1065" s="40"/>
      <c r="H1065" s="41"/>
      <c r="I1065" s="42"/>
      <c r="J1065" s="82">
        <f t="shared" si="81"/>
        <v>0</v>
      </c>
      <c r="K1065" s="43"/>
      <c r="L1065" s="83" t="str">
        <f t="shared" si="82"/>
        <v/>
      </c>
      <c r="M1065" s="53"/>
      <c r="Q1065" s="12"/>
      <c r="S1065"/>
    </row>
    <row r="1066" spans="1:19" x14ac:dyDescent="0.25">
      <c r="A1066" s="12" t="str">
        <f t="shared" si="80"/>
        <v/>
      </c>
      <c r="B1066" s="16"/>
      <c r="C1066" s="17"/>
      <c r="D1066" s="18"/>
      <c r="E1066" s="29"/>
      <c r="F1066" s="27"/>
      <c r="G1066" s="28"/>
      <c r="H1066" s="19"/>
      <c r="I1066" s="23"/>
      <c r="J1066" s="82">
        <f t="shared" si="81"/>
        <v>0</v>
      </c>
      <c r="K1066" s="30"/>
      <c r="L1066" s="83" t="str">
        <f t="shared" si="82"/>
        <v/>
      </c>
      <c r="M1066" s="23"/>
      <c r="Q1066" s="12"/>
      <c r="S1066"/>
    </row>
    <row r="1067" spans="1:19" x14ac:dyDescent="0.25">
      <c r="A1067" s="12" t="str">
        <f t="shared" si="80"/>
        <v/>
      </c>
      <c r="B1067" s="16"/>
      <c r="C1067" s="17"/>
      <c r="D1067" s="18"/>
      <c r="E1067" s="29"/>
      <c r="F1067" s="39"/>
      <c r="G1067" s="40"/>
      <c r="H1067" s="41"/>
      <c r="I1067" s="42"/>
      <c r="J1067" s="82">
        <f t="shared" si="81"/>
        <v>0</v>
      </c>
      <c r="K1067" s="43"/>
      <c r="L1067" s="83" t="str">
        <f t="shared" si="82"/>
        <v/>
      </c>
      <c r="M1067" s="53"/>
      <c r="Q1067" s="12"/>
      <c r="S1067"/>
    </row>
    <row r="1068" spans="1:19" x14ac:dyDescent="0.25">
      <c r="A1068" s="12" t="str">
        <f t="shared" si="80"/>
        <v/>
      </c>
      <c r="B1068" s="16"/>
      <c r="C1068" s="17"/>
      <c r="D1068" s="18"/>
      <c r="E1068" s="29"/>
      <c r="F1068" s="27"/>
      <c r="G1068" s="28"/>
      <c r="H1068" s="19"/>
      <c r="I1068" s="23"/>
      <c r="J1068" s="82">
        <f t="shared" si="81"/>
        <v>0</v>
      </c>
      <c r="K1068" s="30"/>
      <c r="L1068" s="83" t="str">
        <f t="shared" si="82"/>
        <v/>
      </c>
      <c r="M1068" s="23"/>
      <c r="Q1068" s="12"/>
      <c r="S1068"/>
    </row>
    <row r="1069" spans="1:19" x14ac:dyDescent="0.25">
      <c r="A1069" s="12" t="str">
        <f t="shared" si="80"/>
        <v/>
      </c>
      <c r="B1069" s="16"/>
      <c r="C1069" s="17"/>
      <c r="D1069" s="18"/>
      <c r="E1069" s="29"/>
      <c r="F1069" s="39"/>
      <c r="G1069" s="40"/>
      <c r="H1069" s="41"/>
      <c r="I1069" s="42"/>
      <c r="J1069" s="82">
        <f t="shared" si="81"/>
        <v>0</v>
      </c>
      <c r="K1069" s="43"/>
      <c r="L1069" s="83" t="str">
        <f t="shared" si="82"/>
        <v/>
      </c>
      <c r="M1069" s="53"/>
      <c r="Q1069" s="12"/>
      <c r="S1069"/>
    </row>
    <row r="1070" spans="1:19" x14ac:dyDescent="0.25">
      <c r="A1070" s="12" t="str">
        <f t="shared" si="80"/>
        <v/>
      </c>
      <c r="B1070" s="16"/>
      <c r="C1070" s="17"/>
      <c r="D1070" s="18"/>
      <c r="E1070" s="29"/>
      <c r="F1070" s="27"/>
      <c r="G1070" s="28"/>
      <c r="H1070" s="19"/>
      <c r="I1070" s="23"/>
      <c r="J1070" s="82">
        <f t="shared" si="81"/>
        <v>0</v>
      </c>
      <c r="K1070" s="30"/>
      <c r="L1070" s="83" t="str">
        <f t="shared" si="82"/>
        <v/>
      </c>
      <c r="M1070" s="23"/>
      <c r="Q1070" s="12"/>
      <c r="S1070"/>
    </row>
    <row r="1071" spans="1:19" x14ac:dyDescent="0.25">
      <c r="A1071" s="12" t="str">
        <f t="shared" si="80"/>
        <v/>
      </c>
      <c r="B1071" s="16"/>
      <c r="C1071" s="17"/>
      <c r="D1071" s="18"/>
      <c r="E1071" s="29"/>
      <c r="F1071" s="39"/>
      <c r="G1071" s="40"/>
      <c r="H1071" s="41"/>
      <c r="I1071" s="42"/>
      <c r="J1071" s="82">
        <f t="shared" si="81"/>
        <v>0</v>
      </c>
      <c r="K1071" s="43"/>
      <c r="L1071" s="83" t="str">
        <f t="shared" si="82"/>
        <v/>
      </c>
      <c r="M1071" s="53"/>
      <c r="Q1071" s="12"/>
      <c r="S1071"/>
    </row>
    <row r="1072" spans="1:19" x14ac:dyDescent="0.25">
      <c r="A1072" s="12" t="str">
        <f t="shared" si="80"/>
        <v/>
      </c>
      <c r="B1072" s="16"/>
      <c r="C1072" s="17"/>
      <c r="D1072" s="18"/>
      <c r="E1072" s="29"/>
      <c r="F1072" s="27"/>
      <c r="G1072" s="28"/>
      <c r="H1072" s="19"/>
      <c r="I1072" s="23"/>
      <c r="J1072" s="82">
        <f t="shared" si="81"/>
        <v>0</v>
      </c>
      <c r="K1072" s="30"/>
      <c r="L1072" s="83" t="str">
        <f t="shared" si="82"/>
        <v/>
      </c>
      <c r="M1072" s="23"/>
      <c r="Q1072" s="12"/>
      <c r="S1072"/>
    </row>
    <row r="1073" spans="1:19" x14ac:dyDescent="0.25">
      <c r="A1073" s="12" t="str">
        <f t="shared" si="80"/>
        <v/>
      </c>
      <c r="B1073" s="16"/>
      <c r="C1073" s="17"/>
      <c r="D1073" s="18"/>
      <c r="E1073" s="29"/>
      <c r="F1073" s="39"/>
      <c r="G1073" s="40"/>
      <c r="H1073" s="41"/>
      <c r="I1073" s="42"/>
      <c r="J1073" s="82">
        <f t="shared" si="81"/>
        <v>0</v>
      </c>
      <c r="K1073" s="43"/>
      <c r="L1073" s="83" t="str">
        <f t="shared" si="82"/>
        <v/>
      </c>
      <c r="M1073" s="53"/>
      <c r="Q1073" s="12"/>
      <c r="S1073"/>
    </row>
    <row r="1074" spans="1:19" x14ac:dyDescent="0.25">
      <c r="A1074" s="12" t="str">
        <f t="shared" si="80"/>
        <v/>
      </c>
      <c r="B1074" s="16"/>
      <c r="C1074" s="17"/>
      <c r="D1074" s="18"/>
      <c r="E1074" s="29"/>
      <c r="F1074" s="27"/>
      <c r="G1074" s="28"/>
      <c r="H1074" s="19"/>
      <c r="I1074" s="23"/>
      <c r="J1074" s="82">
        <f t="shared" si="81"/>
        <v>0</v>
      </c>
      <c r="K1074" s="30"/>
      <c r="L1074" s="83" t="str">
        <f t="shared" si="82"/>
        <v/>
      </c>
      <c r="M1074" s="23"/>
      <c r="Q1074" s="12"/>
      <c r="S1074"/>
    </row>
    <row r="1075" spans="1:19" x14ac:dyDescent="0.25">
      <c r="A1075" s="12" t="str">
        <f t="shared" si="80"/>
        <v/>
      </c>
      <c r="B1075" s="16"/>
      <c r="C1075" s="17"/>
      <c r="D1075" s="18"/>
      <c r="E1075" s="29"/>
      <c r="F1075" s="39"/>
      <c r="G1075" s="40"/>
      <c r="H1075" s="41"/>
      <c r="I1075" s="42"/>
      <c r="J1075" s="82">
        <f t="shared" si="81"/>
        <v>0</v>
      </c>
      <c r="K1075" s="43"/>
      <c r="L1075" s="83" t="str">
        <f t="shared" si="82"/>
        <v/>
      </c>
      <c r="M1075" s="53"/>
      <c r="Q1075" s="12"/>
      <c r="S1075"/>
    </row>
    <row r="1076" spans="1:19" x14ac:dyDescent="0.25">
      <c r="A1076" s="12" t="str">
        <f t="shared" ref="A1076:A1139" si="83">IFERROR(DATE(B1076,C1076,D1076),"")</f>
        <v/>
      </c>
      <c r="B1076" s="16"/>
      <c r="C1076" s="17"/>
      <c r="D1076" s="18"/>
      <c r="E1076" s="29"/>
      <c r="F1076" s="27"/>
      <c r="G1076" s="28"/>
      <c r="H1076" s="19"/>
      <c r="I1076" s="23"/>
      <c r="J1076" s="82">
        <f t="shared" ref="J1076:J1139" si="84">IF(E1076="entrada",H1076*I1076,H1076*I1076*-1)</f>
        <v>0</v>
      </c>
      <c r="K1076" s="30"/>
      <c r="L1076" s="83" t="str">
        <f t="shared" ref="L1076:L1139" si="85">IF(J1076=0,"",SUM(L1075,J1076))</f>
        <v/>
      </c>
      <c r="M1076" s="23"/>
      <c r="Q1076" s="12"/>
      <c r="S1076"/>
    </row>
    <row r="1077" spans="1:19" x14ac:dyDescent="0.25">
      <c r="A1077" s="12" t="str">
        <f t="shared" si="83"/>
        <v/>
      </c>
      <c r="B1077" s="16"/>
      <c r="C1077" s="17"/>
      <c r="D1077" s="18"/>
      <c r="E1077" s="29"/>
      <c r="F1077" s="39"/>
      <c r="G1077" s="40"/>
      <c r="H1077" s="41"/>
      <c r="I1077" s="42"/>
      <c r="J1077" s="82">
        <f t="shared" si="84"/>
        <v>0</v>
      </c>
      <c r="K1077" s="43"/>
      <c r="L1077" s="83" t="str">
        <f t="shared" si="85"/>
        <v/>
      </c>
      <c r="M1077" s="53"/>
      <c r="Q1077" s="12"/>
      <c r="S1077"/>
    </row>
    <row r="1078" spans="1:19" x14ac:dyDescent="0.25">
      <c r="A1078" s="12" t="str">
        <f t="shared" si="83"/>
        <v/>
      </c>
      <c r="B1078" s="16"/>
      <c r="C1078" s="17"/>
      <c r="D1078" s="18"/>
      <c r="E1078" s="29"/>
      <c r="F1078" s="27"/>
      <c r="G1078" s="28"/>
      <c r="H1078" s="19"/>
      <c r="I1078" s="23"/>
      <c r="J1078" s="82">
        <f t="shared" si="84"/>
        <v>0</v>
      </c>
      <c r="K1078" s="30"/>
      <c r="L1078" s="83" t="str">
        <f t="shared" si="85"/>
        <v/>
      </c>
      <c r="M1078" s="23"/>
      <c r="Q1078" s="12"/>
      <c r="S1078"/>
    </row>
    <row r="1079" spans="1:19" x14ac:dyDescent="0.25">
      <c r="A1079" s="12" t="str">
        <f t="shared" si="83"/>
        <v/>
      </c>
      <c r="B1079" s="16"/>
      <c r="C1079" s="17"/>
      <c r="D1079" s="18"/>
      <c r="E1079" s="29"/>
      <c r="F1079" s="39"/>
      <c r="G1079" s="40"/>
      <c r="H1079" s="41"/>
      <c r="I1079" s="42"/>
      <c r="J1079" s="82">
        <f t="shared" si="84"/>
        <v>0</v>
      </c>
      <c r="K1079" s="43"/>
      <c r="L1079" s="83" t="str">
        <f t="shared" si="85"/>
        <v/>
      </c>
      <c r="M1079" s="53"/>
      <c r="Q1079" s="12"/>
      <c r="S1079"/>
    </row>
    <row r="1080" spans="1:19" x14ac:dyDescent="0.25">
      <c r="A1080" s="12" t="str">
        <f t="shared" si="83"/>
        <v/>
      </c>
      <c r="B1080" s="16"/>
      <c r="C1080" s="17"/>
      <c r="D1080" s="18"/>
      <c r="E1080" s="29"/>
      <c r="F1080" s="27"/>
      <c r="G1080" s="28"/>
      <c r="H1080" s="19"/>
      <c r="I1080" s="23"/>
      <c r="J1080" s="82">
        <f t="shared" si="84"/>
        <v>0</v>
      </c>
      <c r="K1080" s="30"/>
      <c r="L1080" s="83" t="str">
        <f t="shared" si="85"/>
        <v/>
      </c>
      <c r="M1080" s="23"/>
      <c r="Q1080" s="12"/>
      <c r="S1080"/>
    </row>
    <row r="1081" spans="1:19" x14ac:dyDescent="0.25">
      <c r="A1081" s="12" t="str">
        <f t="shared" si="83"/>
        <v/>
      </c>
      <c r="B1081" s="16"/>
      <c r="C1081" s="17"/>
      <c r="D1081" s="18"/>
      <c r="E1081" s="29"/>
      <c r="F1081" s="39"/>
      <c r="G1081" s="40"/>
      <c r="H1081" s="41"/>
      <c r="I1081" s="42"/>
      <c r="J1081" s="82">
        <f t="shared" si="84"/>
        <v>0</v>
      </c>
      <c r="K1081" s="43"/>
      <c r="L1081" s="83" t="str">
        <f t="shared" si="85"/>
        <v/>
      </c>
      <c r="M1081" s="53"/>
      <c r="Q1081" s="12"/>
      <c r="S1081"/>
    </row>
    <row r="1082" spans="1:19" x14ac:dyDescent="0.25">
      <c r="A1082" s="12" t="str">
        <f t="shared" si="83"/>
        <v/>
      </c>
      <c r="B1082" s="16"/>
      <c r="C1082" s="17"/>
      <c r="D1082" s="18"/>
      <c r="E1082" s="29"/>
      <c r="F1082" s="27"/>
      <c r="G1082" s="28"/>
      <c r="H1082" s="19"/>
      <c r="I1082" s="23"/>
      <c r="J1082" s="82">
        <f t="shared" si="84"/>
        <v>0</v>
      </c>
      <c r="K1082" s="30"/>
      <c r="L1082" s="83" t="str">
        <f t="shared" si="85"/>
        <v/>
      </c>
      <c r="M1082" s="23"/>
      <c r="Q1082" s="12"/>
      <c r="S1082"/>
    </row>
    <row r="1083" spans="1:19" x14ac:dyDescent="0.25">
      <c r="A1083" s="12" t="str">
        <f t="shared" si="83"/>
        <v/>
      </c>
      <c r="B1083" s="16"/>
      <c r="C1083" s="17"/>
      <c r="D1083" s="18"/>
      <c r="E1083" s="29"/>
      <c r="F1083" s="39"/>
      <c r="G1083" s="40"/>
      <c r="H1083" s="41"/>
      <c r="I1083" s="42"/>
      <c r="J1083" s="82">
        <f t="shared" si="84"/>
        <v>0</v>
      </c>
      <c r="K1083" s="43"/>
      <c r="L1083" s="83" t="str">
        <f t="shared" si="85"/>
        <v/>
      </c>
      <c r="M1083" s="53"/>
      <c r="Q1083" s="12"/>
      <c r="S1083"/>
    </row>
    <row r="1084" spans="1:19" x14ac:dyDescent="0.25">
      <c r="A1084" s="12" t="str">
        <f t="shared" si="83"/>
        <v/>
      </c>
      <c r="B1084" s="16"/>
      <c r="C1084" s="17"/>
      <c r="D1084" s="18"/>
      <c r="E1084" s="29"/>
      <c r="F1084" s="27"/>
      <c r="G1084" s="28"/>
      <c r="H1084" s="19"/>
      <c r="I1084" s="23"/>
      <c r="J1084" s="82">
        <f t="shared" si="84"/>
        <v>0</v>
      </c>
      <c r="K1084" s="30"/>
      <c r="L1084" s="83" t="str">
        <f t="shared" si="85"/>
        <v/>
      </c>
      <c r="M1084" s="23"/>
      <c r="Q1084" s="12"/>
      <c r="S1084"/>
    </row>
    <row r="1085" spans="1:19" x14ac:dyDescent="0.25">
      <c r="A1085" s="12" t="str">
        <f t="shared" si="83"/>
        <v/>
      </c>
      <c r="B1085" s="16"/>
      <c r="C1085" s="17"/>
      <c r="D1085" s="18"/>
      <c r="E1085" s="29"/>
      <c r="F1085" s="39"/>
      <c r="G1085" s="40"/>
      <c r="H1085" s="41"/>
      <c r="I1085" s="42"/>
      <c r="J1085" s="82">
        <f t="shared" si="84"/>
        <v>0</v>
      </c>
      <c r="K1085" s="43"/>
      <c r="L1085" s="83" t="str">
        <f t="shared" si="85"/>
        <v/>
      </c>
      <c r="M1085" s="53"/>
      <c r="Q1085" s="12"/>
      <c r="S1085"/>
    </row>
    <row r="1086" spans="1:19" x14ac:dyDescent="0.25">
      <c r="A1086" s="12" t="str">
        <f t="shared" si="83"/>
        <v/>
      </c>
      <c r="B1086" s="16"/>
      <c r="C1086" s="17"/>
      <c r="D1086" s="18"/>
      <c r="E1086" s="29"/>
      <c r="F1086" s="27"/>
      <c r="G1086" s="28"/>
      <c r="H1086" s="19"/>
      <c r="I1086" s="23"/>
      <c r="J1086" s="82">
        <f t="shared" si="84"/>
        <v>0</v>
      </c>
      <c r="K1086" s="30"/>
      <c r="L1086" s="83" t="str">
        <f t="shared" si="85"/>
        <v/>
      </c>
      <c r="M1086" s="23"/>
      <c r="Q1086" s="12"/>
      <c r="S1086"/>
    </row>
    <row r="1087" spans="1:19" x14ac:dyDescent="0.25">
      <c r="A1087" s="12" t="str">
        <f t="shared" si="83"/>
        <v/>
      </c>
      <c r="B1087" s="16"/>
      <c r="C1087" s="17"/>
      <c r="D1087" s="18"/>
      <c r="E1087" s="29"/>
      <c r="F1087" s="39"/>
      <c r="G1087" s="40"/>
      <c r="H1087" s="41"/>
      <c r="I1087" s="42"/>
      <c r="J1087" s="82">
        <f t="shared" si="84"/>
        <v>0</v>
      </c>
      <c r="K1087" s="43"/>
      <c r="L1087" s="83" t="str">
        <f t="shared" si="85"/>
        <v/>
      </c>
      <c r="M1087" s="53"/>
      <c r="Q1087" s="12"/>
      <c r="S1087"/>
    </row>
    <row r="1088" spans="1:19" x14ac:dyDescent="0.25">
      <c r="A1088" s="12" t="str">
        <f t="shared" si="83"/>
        <v/>
      </c>
      <c r="B1088" s="16"/>
      <c r="C1088" s="17"/>
      <c r="D1088" s="18"/>
      <c r="E1088" s="29"/>
      <c r="F1088" s="27"/>
      <c r="G1088" s="28"/>
      <c r="H1088" s="19"/>
      <c r="I1088" s="23"/>
      <c r="J1088" s="82">
        <f t="shared" si="84"/>
        <v>0</v>
      </c>
      <c r="K1088" s="30"/>
      <c r="L1088" s="83" t="str">
        <f t="shared" si="85"/>
        <v/>
      </c>
      <c r="M1088" s="23"/>
      <c r="Q1088" s="12"/>
      <c r="S1088"/>
    </row>
    <row r="1089" spans="1:19" x14ac:dyDescent="0.25">
      <c r="A1089" s="12" t="str">
        <f t="shared" si="83"/>
        <v/>
      </c>
      <c r="B1089" s="16"/>
      <c r="C1089" s="17"/>
      <c r="D1089" s="18"/>
      <c r="E1089" s="29"/>
      <c r="F1089" s="39"/>
      <c r="G1089" s="40"/>
      <c r="H1089" s="41"/>
      <c r="I1089" s="42"/>
      <c r="J1089" s="82">
        <f t="shared" si="84"/>
        <v>0</v>
      </c>
      <c r="K1089" s="43"/>
      <c r="L1089" s="83" t="str">
        <f t="shared" si="85"/>
        <v/>
      </c>
      <c r="M1089" s="53"/>
      <c r="Q1089" s="12"/>
      <c r="S1089"/>
    </row>
    <row r="1090" spans="1:19" x14ac:dyDescent="0.25">
      <c r="A1090" s="12" t="str">
        <f t="shared" si="83"/>
        <v/>
      </c>
      <c r="B1090" s="16"/>
      <c r="C1090" s="17"/>
      <c r="D1090" s="18"/>
      <c r="E1090" s="29"/>
      <c r="F1090" s="27"/>
      <c r="G1090" s="28"/>
      <c r="H1090" s="19"/>
      <c r="I1090" s="23"/>
      <c r="J1090" s="82">
        <f t="shared" si="84"/>
        <v>0</v>
      </c>
      <c r="K1090" s="30"/>
      <c r="L1090" s="83" t="str">
        <f t="shared" si="85"/>
        <v/>
      </c>
      <c r="M1090" s="23"/>
      <c r="Q1090" s="12"/>
      <c r="S1090"/>
    </row>
    <row r="1091" spans="1:19" x14ac:dyDescent="0.25">
      <c r="A1091" s="12" t="str">
        <f t="shared" si="83"/>
        <v/>
      </c>
      <c r="B1091" s="16"/>
      <c r="C1091" s="17"/>
      <c r="D1091" s="18"/>
      <c r="E1091" s="29"/>
      <c r="F1091" s="39"/>
      <c r="G1091" s="40"/>
      <c r="H1091" s="41"/>
      <c r="I1091" s="42"/>
      <c r="J1091" s="82">
        <f t="shared" si="84"/>
        <v>0</v>
      </c>
      <c r="K1091" s="43"/>
      <c r="L1091" s="83" t="str">
        <f t="shared" si="85"/>
        <v/>
      </c>
      <c r="M1091" s="53"/>
      <c r="Q1091" s="12"/>
      <c r="S1091"/>
    </row>
    <row r="1092" spans="1:19" x14ac:dyDescent="0.25">
      <c r="A1092" s="12" t="str">
        <f t="shared" si="83"/>
        <v/>
      </c>
      <c r="B1092" s="16"/>
      <c r="C1092" s="17"/>
      <c r="D1092" s="18"/>
      <c r="E1092" s="29"/>
      <c r="F1092" s="27"/>
      <c r="G1092" s="28"/>
      <c r="H1092" s="19"/>
      <c r="I1092" s="23"/>
      <c r="J1092" s="82">
        <f t="shared" si="84"/>
        <v>0</v>
      </c>
      <c r="K1092" s="30"/>
      <c r="L1092" s="83" t="str">
        <f t="shared" si="85"/>
        <v/>
      </c>
      <c r="M1092" s="23"/>
      <c r="Q1092" s="12"/>
      <c r="S1092"/>
    </row>
    <row r="1093" spans="1:19" x14ac:dyDescent="0.25">
      <c r="A1093" s="12" t="str">
        <f t="shared" si="83"/>
        <v/>
      </c>
      <c r="B1093" s="16"/>
      <c r="C1093" s="17"/>
      <c r="D1093" s="18"/>
      <c r="E1093" s="29"/>
      <c r="F1093" s="39"/>
      <c r="G1093" s="40"/>
      <c r="H1093" s="41"/>
      <c r="I1093" s="42"/>
      <c r="J1093" s="82">
        <f t="shared" si="84"/>
        <v>0</v>
      </c>
      <c r="K1093" s="43"/>
      <c r="L1093" s="83" t="str">
        <f t="shared" si="85"/>
        <v/>
      </c>
      <c r="M1093" s="53"/>
      <c r="Q1093" s="12"/>
      <c r="S1093"/>
    </row>
    <row r="1094" spans="1:19" x14ac:dyDescent="0.25">
      <c r="A1094" s="12" t="str">
        <f t="shared" si="83"/>
        <v/>
      </c>
      <c r="B1094" s="16"/>
      <c r="C1094" s="17"/>
      <c r="D1094" s="18"/>
      <c r="E1094" s="29"/>
      <c r="F1094" s="27"/>
      <c r="G1094" s="28"/>
      <c r="H1094" s="19"/>
      <c r="I1094" s="23"/>
      <c r="J1094" s="82">
        <f t="shared" si="84"/>
        <v>0</v>
      </c>
      <c r="K1094" s="30"/>
      <c r="L1094" s="83" t="str">
        <f t="shared" si="85"/>
        <v/>
      </c>
      <c r="M1094" s="23"/>
      <c r="Q1094" s="12"/>
      <c r="S1094"/>
    </row>
    <row r="1095" spans="1:19" x14ac:dyDescent="0.25">
      <c r="A1095" s="12" t="str">
        <f t="shared" si="83"/>
        <v/>
      </c>
      <c r="B1095" s="16"/>
      <c r="C1095" s="17"/>
      <c r="D1095" s="18"/>
      <c r="E1095" s="29"/>
      <c r="F1095" s="39"/>
      <c r="G1095" s="40"/>
      <c r="H1095" s="41"/>
      <c r="I1095" s="42"/>
      <c r="J1095" s="82">
        <f t="shared" si="84"/>
        <v>0</v>
      </c>
      <c r="K1095" s="43"/>
      <c r="L1095" s="83" t="str">
        <f t="shared" si="85"/>
        <v/>
      </c>
      <c r="M1095" s="53"/>
      <c r="Q1095" s="12"/>
      <c r="S1095"/>
    </row>
    <row r="1096" spans="1:19" x14ac:dyDescent="0.25">
      <c r="A1096" s="12" t="str">
        <f t="shared" si="83"/>
        <v/>
      </c>
      <c r="B1096" s="16"/>
      <c r="C1096" s="17"/>
      <c r="D1096" s="18"/>
      <c r="E1096" s="29"/>
      <c r="F1096" s="27"/>
      <c r="G1096" s="28"/>
      <c r="H1096" s="19"/>
      <c r="I1096" s="23"/>
      <c r="J1096" s="82">
        <f t="shared" si="84"/>
        <v>0</v>
      </c>
      <c r="K1096" s="30"/>
      <c r="L1096" s="83" t="str">
        <f t="shared" si="85"/>
        <v/>
      </c>
      <c r="M1096" s="23"/>
      <c r="Q1096" s="12"/>
      <c r="S1096"/>
    </row>
    <row r="1097" spans="1:19" x14ac:dyDescent="0.25">
      <c r="A1097" s="12" t="str">
        <f t="shared" si="83"/>
        <v/>
      </c>
      <c r="B1097" s="16"/>
      <c r="C1097" s="17"/>
      <c r="D1097" s="18"/>
      <c r="E1097" s="29"/>
      <c r="F1097" s="39"/>
      <c r="G1097" s="40"/>
      <c r="H1097" s="41"/>
      <c r="I1097" s="42"/>
      <c r="J1097" s="82">
        <f t="shared" si="84"/>
        <v>0</v>
      </c>
      <c r="K1097" s="43"/>
      <c r="L1097" s="83" t="str">
        <f t="shared" si="85"/>
        <v/>
      </c>
      <c r="M1097" s="53"/>
      <c r="Q1097" s="12"/>
      <c r="S1097"/>
    </row>
    <row r="1098" spans="1:19" x14ac:dyDescent="0.25">
      <c r="A1098" s="12" t="str">
        <f t="shared" si="83"/>
        <v/>
      </c>
      <c r="B1098" s="16"/>
      <c r="C1098" s="17"/>
      <c r="D1098" s="18"/>
      <c r="E1098" s="29"/>
      <c r="F1098" s="27"/>
      <c r="G1098" s="28"/>
      <c r="H1098" s="19"/>
      <c r="I1098" s="23"/>
      <c r="J1098" s="82">
        <f t="shared" si="84"/>
        <v>0</v>
      </c>
      <c r="K1098" s="30"/>
      <c r="L1098" s="83" t="str">
        <f t="shared" si="85"/>
        <v/>
      </c>
      <c r="M1098" s="23"/>
      <c r="Q1098" s="12"/>
      <c r="S1098"/>
    </row>
    <row r="1099" spans="1:19" x14ac:dyDescent="0.25">
      <c r="A1099" s="12" t="str">
        <f t="shared" si="83"/>
        <v/>
      </c>
      <c r="B1099" s="16"/>
      <c r="C1099" s="17"/>
      <c r="D1099" s="18"/>
      <c r="E1099" s="29"/>
      <c r="F1099" s="39"/>
      <c r="G1099" s="40"/>
      <c r="H1099" s="41"/>
      <c r="I1099" s="42"/>
      <c r="J1099" s="82">
        <f t="shared" si="84"/>
        <v>0</v>
      </c>
      <c r="K1099" s="43"/>
      <c r="L1099" s="83" t="str">
        <f t="shared" si="85"/>
        <v/>
      </c>
      <c r="M1099" s="53"/>
      <c r="Q1099" s="12"/>
      <c r="S1099"/>
    </row>
    <row r="1100" spans="1:19" x14ac:dyDescent="0.25">
      <c r="A1100" s="12" t="str">
        <f t="shared" si="83"/>
        <v/>
      </c>
      <c r="B1100" s="16"/>
      <c r="C1100" s="17"/>
      <c r="D1100" s="18"/>
      <c r="E1100" s="29"/>
      <c r="F1100" s="27"/>
      <c r="G1100" s="28"/>
      <c r="H1100" s="19"/>
      <c r="I1100" s="23"/>
      <c r="J1100" s="82">
        <f t="shared" si="84"/>
        <v>0</v>
      </c>
      <c r="K1100" s="30"/>
      <c r="L1100" s="83" t="str">
        <f t="shared" si="85"/>
        <v/>
      </c>
      <c r="M1100" s="23"/>
      <c r="Q1100" s="12"/>
      <c r="S1100"/>
    </row>
    <row r="1101" spans="1:19" x14ac:dyDescent="0.25">
      <c r="A1101" s="12" t="str">
        <f t="shared" si="83"/>
        <v/>
      </c>
      <c r="B1101" s="16"/>
      <c r="C1101" s="17"/>
      <c r="D1101" s="18"/>
      <c r="E1101" s="29"/>
      <c r="F1101" s="39"/>
      <c r="G1101" s="40"/>
      <c r="H1101" s="41"/>
      <c r="I1101" s="42"/>
      <c r="J1101" s="82">
        <f t="shared" si="84"/>
        <v>0</v>
      </c>
      <c r="K1101" s="43"/>
      <c r="L1101" s="83" t="str">
        <f t="shared" si="85"/>
        <v/>
      </c>
      <c r="M1101" s="53"/>
      <c r="Q1101" s="12"/>
      <c r="S1101"/>
    </row>
    <row r="1102" spans="1:19" x14ac:dyDescent="0.25">
      <c r="A1102" s="12" t="str">
        <f t="shared" si="83"/>
        <v/>
      </c>
      <c r="B1102" s="16"/>
      <c r="C1102" s="17"/>
      <c r="D1102" s="18"/>
      <c r="E1102" s="29"/>
      <c r="F1102" s="27"/>
      <c r="G1102" s="28"/>
      <c r="H1102" s="19"/>
      <c r="I1102" s="23"/>
      <c r="J1102" s="82">
        <f t="shared" si="84"/>
        <v>0</v>
      </c>
      <c r="K1102" s="30"/>
      <c r="L1102" s="83" t="str">
        <f t="shared" si="85"/>
        <v/>
      </c>
      <c r="M1102" s="23"/>
      <c r="Q1102" s="12"/>
      <c r="S1102"/>
    </row>
    <row r="1103" spans="1:19" x14ac:dyDescent="0.25">
      <c r="A1103" s="12" t="str">
        <f t="shared" si="83"/>
        <v/>
      </c>
      <c r="B1103" s="16"/>
      <c r="C1103" s="17"/>
      <c r="D1103" s="18"/>
      <c r="E1103" s="29"/>
      <c r="F1103" s="39"/>
      <c r="G1103" s="40"/>
      <c r="H1103" s="41"/>
      <c r="I1103" s="42"/>
      <c r="J1103" s="82">
        <f t="shared" si="84"/>
        <v>0</v>
      </c>
      <c r="K1103" s="43"/>
      <c r="L1103" s="83" t="str">
        <f t="shared" si="85"/>
        <v/>
      </c>
      <c r="M1103" s="53"/>
      <c r="Q1103" s="12"/>
      <c r="S1103"/>
    </row>
    <row r="1104" spans="1:19" x14ac:dyDescent="0.25">
      <c r="A1104" s="12" t="str">
        <f t="shared" si="83"/>
        <v/>
      </c>
      <c r="B1104" s="16"/>
      <c r="C1104" s="17"/>
      <c r="D1104" s="18"/>
      <c r="E1104" s="29"/>
      <c r="F1104" s="27"/>
      <c r="G1104" s="28"/>
      <c r="H1104" s="19"/>
      <c r="I1104" s="23"/>
      <c r="J1104" s="82">
        <f t="shared" si="84"/>
        <v>0</v>
      </c>
      <c r="K1104" s="30"/>
      <c r="L1104" s="83" t="str">
        <f t="shared" si="85"/>
        <v/>
      </c>
      <c r="M1104" s="23"/>
      <c r="Q1104" s="12"/>
      <c r="S1104"/>
    </row>
    <row r="1105" spans="1:19" x14ac:dyDescent="0.25">
      <c r="A1105" s="12" t="str">
        <f t="shared" si="83"/>
        <v/>
      </c>
      <c r="B1105" s="16"/>
      <c r="C1105" s="17"/>
      <c r="D1105" s="18"/>
      <c r="E1105" s="29"/>
      <c r="F1105" s="39"/>
      <c r="G1105" s="40"/>
      <c r="H1105" s="41"/>
      <c r="I1105" s="42"/>
      <c r="J1105" s="82">
        <f t="shared" si="84"/>
        <v>0</v>
      </c>
      <c r="K1105" s="43"/>
      <c r="L1105" s="83" t="str">
        <f t="shared" si="85"/>
        <v/>
      </c>
      <c r="M1105" s="53"/>
      <c r="Q1105" s="12"/>
      <c r="S1105"/>
    </row>
    <row r="1106" spans="1:19" x14ac:dyDescent="0.25">
      <c r="A1106" s="12" t="str">
        <f t="shared" si="83"/>
        <v/>
      </c>
      <c r="B1106" s="16"/>
      <c r="C1106" s="17"/>
      <c r="D1106" s="18"/>
      <c r="E1106" s="29"/>
      <c r="F1106" s="27"/>
      <c r="G1106" s="28"/>
      <c r="H1106" s="19"/>
      <c r="I1106" s="23"/>
      <c r="J1106" s="82">
        <f t="shared" si="84"/>
        <v>0</v>
      </c>
      <c r="K1106" s="30"/>
      <c r="L1106" s="83" t="str">
        <f t="shared" si="85"/>
        <v/>
      </c>
      <c r="M1106" s="23"/>
      <c r="Q1106" s="12"/>
      <c r="S1106"/>
    </row>
    <row r="1107" spans="1:19" x14ac:dyDescent="0.25">
      <c r="A1107" s="12" t="str">
        <f t="shared" si="83"/>
        <v/>
      </c>
      <c r="B1107" s="16"/>
      <c r="C1107" s="17"/>
      <c r="D1107" s="18"/>
      <c r="E1107" s="29"/>
      <c r="F1107" s="39"/>
      <c r="G1107" s="40"/>
      <c r="H1107" s="41"/>
      <c r="I1107" s="42"/>
      <c r="J1107" s="82">
        <f t="shared" si="84"/>
        <v>0</v>
      </c>
      <c r="K1107" s="43"/>
      <c r="L1107" s="83" t="str">
        <f t="shared" si="85"/>
        <v/>
      </c>
      <c r="M1107" s="53"/>
      <c r="Q1107" s="12"/>
      <c r="S1107"/>
    </row>
    <row r="1108" spans="1:19" x14ac:dyDescent="0.25">
      <c r="A1108" s="12" t="str">
        <f t="shared" si="83"/>
        <v/>
      </c>
      <c r="B1108" s="16"/>
      <c r="C1108" s="17"/>
      <c r="D1108" s="18"/>
      <c r="E1108" s="29"/>
      <c r="F1108" s="27"/>
      <c r="G1108" s="28"/>
      <c r="H1108" s="19"/>
      <c r="I1108" s="23"/>
      <c r="J1108" s="82">
        <f t="shared" si="84"/>
        <v>0</v>
      </c>
      <c r="K1108" s="30"/>
      <c r="L1108" s="83" t="str">
        <f t="shared" si="85"/>
        <v/>
      </c>
      <c r="M1108" s="23"/>
      <c r="Q1108" s="12"/>
      <c r="S1108"/>
    </row>
    <row r="1109" spans="1:19" x14ac:dyDescent="0.25">
      <c r="A1109" s="12" t="str">
        <f t="shared" si="83"/>
        <v/>
      </c>
      <c r="B1109" s="16"/>
      <c r="C1109" s="17"/>
      <c r="D1109" s="18"/>
      <c r="E1109" s="29"/>
      <c r="F1109" s="39"/>
      <c r="G1109" s="40"/>
      <c r="H1109" s="41"/>
      <c r="I1109" s="42"/>
      <c r="J1109" s="82">
        <f t="shared" si="84"/>
        <v>0</v>
      </c>
      <c r="K1109" s="43"/>
      <c r="L1109" s="83" t="str">
        <f t="shared" si="85"/>
        <v/>
      </c>
      <c r="M1109" s="53"/>
      <c r="Q1109" s="12"/>
      <c r="S1109"/>
    </row>
    <row r="1110" spans="1:19" x14ac:dyDescent="0.25">
      <c r="A1110" s="12" t="str">
        <f t="shared" si="83"/>
        <v/>
      </c>
      <c r="B1110" s="16"/>
      <c r="C1110" s="17"/>
      <c r="D1110" s="18"/>
      <c r="E1110" s="29"/>
      <c r="F1110" s="27"/>
      <c r="G1110" s="28"/>
      <c r="H1110" s="19"/>
      <c r="I1110" s="23"/>
      <c r="J1110" s="82">
        <f t="shared" si="84"/>
        <v>0</v>
      </c>
      <c r="K1110" s="30"/>
      <c r="L1110" s="83" t="str">
        <f t="shared" si="85"/>
        <v/>
      </c>
      <c r="M1110" s="23"/>
      <c r="Q1110" s="12"/>
      <c r="S1110"/>
    </row>
    <row r="1111" spans="1:19" x14ac:dyDescent="0.25">
      <c r="A1111" s="12" t="str">
        <f t="shared" si="83"/>
        <v/>
      </c>
      <c r="B1111" s="16"/>
      <c r="C1111" s="17"/>
      <c r="D1111" s="18"/>
      <c r="E1111" s="29"/>
      <c r="F1111" s="39"/>
      <c r="G1111" s="40"/>
      <c r="H1111" s="41"/>
      <c r="I1111" s="42"/>
      <c r="J1111" s="82">
        <f t="shared" si="84"/>
        <v>0</v>
      </c>
      <c r="K1111" s="43"/>
      <c r="L1111" s="83" t="str">
        <f t="shared" si="85"/>
        <v/>
      </c>
      <c r="M1111" s="53"/>
      <c r="Q1111" s="12"/>
      <c r="S1111"/>
    </row>
    <row r="1112" spans="1:19" x14ac:dyDescent="0.25">
      <c r="A1112" s="12" t="str">
        <f t="shared" si="83"/>
        <v/>
      </c>
      <c r="B1112" s="16"/>
      <c r="C1112" s="17"/>
      <c r="D1112" s="18"/>
      <c r="E1112" s="29"/>
      <c r="F1112" s="27"/>
      <c r="G1112" s="28"/>
      <c r="H1112" s="19"/>
      <c r="I1112" s="23"/>
      <c r="J1112" s="82">
        <f t="shared" si="84"/>
        <v>0</v>
      </c>
      <c r="K1112" s="30"/>
      <c r="L1112" s="83" t="str">
        <f t="shared" si="85"/>
        <v/>
      </c>
      <c r="M1112" s="23"/>
      <c r="Q1112" s="12"/>
      <c r="S1112"/>
    </row>
    <row r="1113" spans="1:19" x14ac:dyDescent="0.25">
      <c r="A1113" s="12" t="str">
        <f t="shared" si="83"/>
        <v/>
      </c>
      <c r="B1113" s="16"/>
      <c r="C1113" s="17"/>
      <c r="D1113" s="18"/>
      <c r="E1113" s="29"/>
      <c r="F1113" s="39"/>
      <c r="G1113" s="40"/>
      <c r="H1113" s="41"/>
      <c r="I1113" s="42"/>
      <c r="J1113" s="82">
        <f t="shared" si="84"/>
        <v>0</v>
      </c>
      <c r="K1113" s="43"/>
      <c r="L1113" s="83" t="str">
        <f t="shared" si="85"/>
        <v/>
      </c>
      <c r="M1113" s="53"/>
      <c r="Q1113" s="12"/>
      <c r="S1113"/>
    </row>
    <row r="1114" spans="1:19" x14ac:dyDescent="0.25">
      <c r="A1114" s="12" t="str">
        <f t="shared" si="83"/>
        <v/>
      </c>
      <c r="B1114" s="16"/>
      <c r="C1114" s="17"/>
      <c r="D1114" s="18"/>
      <c r="E1114" s="29"/>
      <c r="F1114" s="27"/>
      <c r="G1114" s="28"/>
      <c r="H1114" s="19"/>
      <c r="I1114" s="23"/>
      <c r="J1114" s="82">
        <f t="shared" si="84"/>
        <v>0</v>
      </c>
      <c r="K1114" s="30"/>
      <c r="L1114" s="83" t="str">
        <f t="shared" si="85"/>
        <v/>
      </c>
      <c r="M1114" s="23"/>
      <c r="Q1114" s="12"/>
      <c r="S1114"/>
    </row>
    <row r="1115" spans="1:19" x14ac:dyDescent="0.25">
      <c r="A1115" s="12" t="str">
        <f t="shared" si="83"/>
        <v/>
      </c>
      <c r="B1115" s="16"/>
      <c r="C1115" s="17"/>
      <c r="D1115" s="18"/>
      <c r="E1115" s="29"/>
      <c r="F1115" s="39"/>
      <c r="G1115" s="40"/>
      <c r="H1115" s="41"/>
      <c r="I1115" s="42"/>
      <c r="J1115" s="82">
        <f t="shared" si="84"/>
        <v>0</v>
      </c>
      <c r="K1115" s="43"/>
      <c r="L1115" s="83" t="str">
        <f t="shared" si="85"/>
        <v/>
      </c>
      <c r="M1115" s="53"/>
      <c r="Q1115" s="12"/>
      <c r="S1115"/>
    </row>
    <row r="1116" spans="1:19" x14ac:dyDescent="0.25">
      <c r="A1116" s="12" t="str">
        <f t="shared" si="83"/>
        <v/>
      </c>
      <c r="B1116" s="16"/>
      <c r="C1116" s="17"/>
      <c r="D1116" s="18"/>
      <c r="E1116" s="29"/>
      <c r="F1116" s="27"/>
      <c r="G1116" s="28"/>
      <c r="H1116" s="19"/>
      <c r="I1116" s="23"/>
      <c r="J1116" s="82">
        <f t="shared" si="84"/>
        <v>0</v>
      </c>
      <c r="K1116" s="30"/>
      <c r="L1116" s="83" t="str">
        <f t="shared" si="85"/>
        <v/>
      </c>
      <c r="M1116" s="23"/>
      <c r="Q1116" s="12"/>
      <c r="S1116"/>
    </row>
    <row r="1117" spans="1:19" x14ac:dyDescent="0.25">
      <c r="A1117" s="12" t="str">
        <f t="shared" si="83"/>
        <v/>
      </c>
      <c r="B1117" s="16"/>
      <c r="C1117" s="17"/>
      <c r="D1117" s="18"/>
      <c r="E1117" s="29"/>
      <c r="F1117" s="39"/>
      <c r="G1117" s="40"/>
      <c r="H1117" s="41"/>
      <c r="I1117" s="42"/>
      <c r="J1117" s="82">
        <f t="shared" si="84"/>
        <v>0</v>
      </c>
      <c r="K1117" s="43"/>
      <c r="L1117" s="83" t="str">
        <f t="shared" si="85"/>
        <v/>
      </c>
      <c r="M1117" s="53"/>
      <c r="Q1117" s="12"/>
      <c r="S1117"/>
    </row>
    <row r="1118" spans="1:19" x14ac:dyDescent="0.25">
      <c r="A1118" s="12" t="str">
        <f t="shared" si="83"/>
        <v/>
      </c>
      <c r="B1118" s="16"/>
      <c r="C1118" s="17"/>
      <c r="D1118" s="18"/>
      <c r="E1118" s="29"/>
      <c r="F1118" s="27"/>
      <c r="G1118" s="28"/>
      <c r="H1118" s="19"/>
      <c r="I1118" s="23"/>
      <c r="J1118" s="82">
        <f t="shared" si="84"/>
        <v>0</v>
      </c>
      <c r="K1118" s="30"/>
      <c r="L1118" s="83" t="str">
        <f t="shared" si="85"/>
        <v/>
      </c>
      <c r="M1118" s="23"/>
      <c r="Q1118" s="12"/>
      <c r="S1118"/>
    </row>
    <row r="1119" spans="1:19" x14ac:dyDescent="0.25">
      <c r="A1119" s="12" t="str">
        <f t="shared" si="83"/>
        <v/>
      </c>
      <c r="B1119" s="16"/>
      <c r="C1119" s="17"/>
      <c r="D1119" s="18"/>
      <c r="E1119" s="29"/>
      <c r="F1119" s="39"/>
      <c r="G1119" s="40"/>
      <c r="H1119" s="41"/>
      <c r="I1119" s="42"/>
      <c r="J1119" s="82">
        <f t="shared" si="84"/>
        <v>0</v>
      </c>
      <c r="K1119" s="43"/>
      <c r="L1119" s="83" t="str">
        <f t="shared" si="85"/>
        <v/>
      </c>
      <c r="M1119" s="53"/>
      <c r="Q1119" s="12"/>
      <c r="S1119"/>
    </row>
    <row r="1120" spans="1:19" x14ac:dyDescent="0.25">
      <c r="A1120" s="12" t="str">
        <f t="shared" si="83"/>
        <v/>
      </c>
      <c r="B1120" s="16"/>
      <c r="C1120" s="17"/>
      <c r="D1120" s="18"/>
      <c r="E1120" s="29"/>
      <c r="F1120" s="27"/>
      <c r="G1120" s="28"/>
      <c r="H1120" s="19"/>
      <c r="I1120" s="23"/>
      <c r="J1120" s="82">
        <f t="shared" si="84"/>
        <v>0</v>
      </c>
      <c r="K1120" s="30"/>
      <c r="L1120" s="83" t="str">
        <f t="shared" si="85"/>
        <v/>
      </c>
      <c r="M1120" s="23"/>
      <c r="Q1120" s="12"/>
      <c r="S1120"/>
    </row>
    <row r="1121" spans="1:19" x14ac:dyDescent="0.25">
      <c r="A1121" s="12" t="str">
        <f t="shared" si="83"/>
        <v/>
      </c>
      <c r="B1121" s="16"/>
      <c r="C1121" s="17"/>
      <c r="D1121" s="18"/>
      <c r="E1121" s="29"/>
      <c r="F1121" s="39"/>
      <c r="G1121" s="40"/>
      <c r="H1121" s="41"/>
      <c r="I1121" s="42"/>
      <c r="J1121" s="82">
        <f t="shared" si="84"/>
        <v>0</v>
      </c>
      <c r="K1121" s="43"/>
      <c r="L1121" s="83" t="str">
        <f t="shared" si="85"/>
        <v/>
      </c>
      <c r="M1121" s="53"/>
      <c r="Q1121" s="12"/>
      <c r="S1121"/>
    </row>
    <row r="1122" spans="1:19" x14ac:dyDescent="0.25">
      <c r="A1122" s="12" t="str">
        <f t="shared" si="83"/>
        <v/>
      </c>
      <c r="B1122" s="16"/>
      <c r="C1122" s="17"/>
      <c r="D1122" s="18"/>
      <c r="E1122" s="29"/>
      <c r="F1122" s="27"/>
      <c r="G1122" s="28"/>
      <c r="H1122" s="19"/>
      <c r="I1122" s="23"/>
      <c r="J1122" s="82">
        <f t="shared" si="84"/>
        <v>0</v>
      </c>
      <c r="K1122" s="30"/>
      <c r="L1122" s="83" t="str">
        <f t="shared" si="85"/>
        <v/>
      </c>
      <c r="M1122" s="23"/>
      <c r="Q1122" s="12"/>
      <c r="S1122"/>
    </row>
    <row r="1123" spans="1:19" x14ac:dyDescent="0.25">
      <c r="A1123" s="12" t="str">
        <f t="shared" si="83"/>
        <v/>
      </c>
      <c r="B1123" s="16"/>
      <c r="C1123" s="17"/>
      <c r="D1123" s="18"/>
      <c r="E1123" s="29"/>
      <c r="F1123" s="39"/>
      <c r="G1123" s="40"/>
      <c r="H1123" s="41"/>
      <c r="I1123" s="42"/>
      <c r="J1123" s="82">
        <f t="shared" si="84"/>
        <v>0</v>
      </c>
      <c r="K1123" s="43"/>
      <c r="L1123" s="83" t="str">
        <f t="shared" si="85"/>
        <v/>
      </c>
      <c r="M1123" s="53"/>
      <c r="Q1123" s="12"/>
      <c r="S1123"/>
    </row>
    <row r="1124" spans="1:19" x14ac:dyDescent="0.25">
      <c r="A1124" s="12" t="str">
        <f t="shared" si="83"/>
        <v/>
      </c>
      <c r="B1124" s="16"/>
      <c r="C1124" s="17"/>
      <c r="D1124" s="18"/>
      <c r="E1124" s="29"/>
      <c r="F1124" s="27"/>
      <c r="G1124" s="28"/>
      <c r="H1124" s="19"/>
      <c r="I1124" s="23"/>
      <c r="J1124" s="82">
        <f t="shared" si="84"/>
        <v>0</v>
      </c>
      <c r="K1124" s="30"/>
      <c r="L1124" s="83" t="str">
        <f t="shared" si="85"/>
        <v/>
      </c>
      <c r="M1124" s="23"/>
      <c r="Q1124" s="12"/>
      <c r="S1124"/>
    </row>
    <row r="1125" spans="1:19" x14ac:dyDescent="0.25">
      <c r="A1125" s="12" t="str">
        <f t="shared" si="83"/>
        <v/>
      </c>
      <c r="B1125" s="16"/>
      <c r="C1125" s="17"/>
      <c r="D1125" s="18"/>
      <c r="E1125" s="29"/>
      <c r="F1125" s="39"/>
      <c r="G1125" s="40"/>
      <c r="H1125" s="41"/>
      <c r="I1125" s="42"/>
      <c r="J1125" s="82">
        <f t="shared" si="84"/>
        <v>0</v>
      </c>
      <c r="K1125" s="43"/>
      <c r="L1125" s="83" t="str">
        <f t="shared" si="85"/>
        <v/>
      </c>
      <c r="M1125" s="53"/>
      <c r="Q1125" s="12"/>
      <c r="S1125"/>
    </row>
    <row r="1126" spans="1:19" x14ac:dyDescent="0.25">
      <c r="A1126" s="12" t="str">
        <f t="shared" si="83"/>
        <v/>
      </c>
      <c r="B1126" s="16"/>
      <c r="C1126" s="17"/>
      <c r="D1126" s="18"/>
      <c r="E1126" s="29"/>
      <c r="F1126" s="27"/>
      <c r="G1126" s="28"/>
      <c r="H1126" s="19"/>
      <c r="I1126" s="23"/>
      <c r="J1126" s="82">
        <f t="shared" si="84"/>
        <v>0</v>
      </c>
      <c r="K1126" s="30"/>
      <c r="L1126" s="83" t="str">
        <f t="shared" si="85"/>
        <v/>
      </c>
      <c r="M1126" s="23"/>
      <c r="Q1126" s="12"/>
      <c r="S1126"/>
    </row>
    <row r="1127" spans="1:19" x14ac:dyDescent="0.25">
      <c r="A1127" s="12" t="str">
        <f t="shared" si="83"/>
        <v/>
      </c>
      <c r="B1127" s="16"/>
      <c r="C1127" s="17"/>
      <c r="D1127" s="18"/>
      <c r="E1127" s="29"/>
      <c r="F1127" s="39"/>
      <c r="G1127" s="40"/>
      <c r="H1127" s="41"/>
      <c r="I1127" s="42"/>
      <c r="J1127" s="82">
        <f t="shared" si="84"/>
        <v>0</v>
      </c>
      <c r="K1127" s="43"/>
      <c r="L1127" s="83" t="str">
        <f t="shared" si="85"/>
        <v/>
      </c>
      <c r="M1127" s="53"/>
      <c r="Q1127" s="12"/>
      <c r="S1127"/>
    </row>
    <row r="1128" spans="1:19" x14ac:dyDescent="0.25">
      <c r="A1128" s="12" t="str">
        <f t="shared" si="83"/>
        <v/>
      </c>
      <c r="B1128" s="16"/>
      <c r="C1128" s="17"/>
      <c r="D1128" s="18"/>
      <c r="E1128" s="29"/>
      <c r="F1128" s="27"/>
      <c r="G1128" s="28"/>
      <c r="H1128" s="19"/>
      <c r="I1128" s="23"/>
      <c r="J1128" s="82">
        <f t="shared" si="84"/>
        <v>0</v>
      </c>
      <c r="K1128" s="30"/>
      <c r="L1128" s="83" t="str">
        <f t="shared" si="85"/>
        <v/>
      </c>
      <c r="M1128" s="23"/>
      <c r="Q1128" s="12"/>
      <c r="S1128"/>
    </row>
    <row r="1129" spans="1:19" x14ac:dyDescent="0.25">
      <c r="A1129" s="12" t="str">
        <f t="shared" si="83"/>
        <v/>
      </c>
      <c r="B1129" s="16"/>
      <c r="C1129" s="17"/>
      <c r="D1129" s="18"/>
      <c r="E1129" s="29"/>
      <c r="F1129" s="39"/>
      <c r="G1129" s="40"/>
      <c r="H1129" s="41"/>
      <c r="I1129" s="42"/>
      <c r="J1129" s="82">
        <f t="shared" si="84"/>
        <v>0</v>
      </c>
      <c r="K1129" s="43"/>
      <c r="L1129" s="83" t="str">
        <f t="shared" si="85"/>
        <v/>
      </c>
      <c r="M1129" s="53"/>
      <c r="Q1129" s="12"/>
      <c r="S1129"/>
    </row>
    <row r="1130" spans="1:19" x14ac:dyDescent="0.25">
      <c r="A1130" s="12" t="str">
        <f t="shared" si="83"/>
        <v/>
      </c>
      <c r="B1130" s="16"/>
      <c r="C1130" s="17"/>
      <c r="D1130" s="18"/>
      <c r="E1130" s="29"/>
      <c r="F1130" s="27"/>
      <c r="G1130" s="28"/>
      <c r="H1130" s="19"/>
      <c r="I1130" s="23"/>
      <c r="J1130" s="82">
        <f t="shared" si="84"/>
        <v>0</v>
      </c>
      <c r="K1130" s="30"/>
      <c r="L1130" s="83" t="str">
        <f t="shared" si="85"/>
        <v/>
      </c>
      <c r="M1130" s="23"/>
      <c r="Q1130" s="12"/>
      <c r="S1130"/>
    </row>
    <row r="1131" spans="1:19" x14ac:dyDescent="0.25">
      <c r="A1131" s="12" t="str">
        <f t="shared" si="83"/>
        <v/>
      </c>
      <c r="B1131" s="16"/>
      <c r="C1131" s="17"/>
      <c r="D1131" s="18"/>
      <c r="E1131" s="29"/>
      <c r="F1131" s="39"/>
      <c r="G1131" s="40"/>
      <c r="H1131" s="41"/>
      <c r="I1131" s="42"/>
      <c r="J1131" s="82">
        <f t="shared" si="84"/>
        <v>0</v>
      </c>
      <c r="K1131" s="43"/>
      <c r="L1131" s="83" t="str">
        <f t="shared" si="85"/>
        <v/>
      </c>
      <c r="M1131" s="53"/>
      <c r="Q1131" s="12"/>
      <c r="S1131"/>
    </row>
    <row r="1132" spans="1:19" x14ac:dyDescent="0.25">
      <c r="A1132" s="12" t="str">
        <f t="shared" si="83"/>
        <v/>
      </c>
      <c r="B1132" s="16"/>
      <c r="C1132" s="17"/>
      <c r="D1132" s="18"/>
      <c r="E1132" s="29"/>
      <c r="F1132" s="27"/>
      <c r="G1132" s="28"/>
      <c r="H1132" s="19"/>
      <c r="I1132" s="23"/>
      <c r="J1132" s="82">
        <f t="shared" si="84"/>
        <v>0</v>
      </c>
      <c r="K1132" s="30"/>
      <c r="L1132" s="83" t="str">
        <f t="shared" si="85"/>
        <v/>
      </c>
      <c r="M1132" s="23"/>
      <c r="Q1132" s="12"/>
      <c r="S1132"/>
    </row>
    <row r="1133" spans="1:19" x14ac:dyDescent="0.25">
      <c r="A1133" s="12" t="str">
        <f t="shared" si="83"/>
        <v/>
      </c>
      <c r="B1133" s="16"/>
      <c r="C1133" s="17"/>
      <c r="D1133" s="18"/>
      <c r="E1133" s="29"/>
      <c r="F1133" s="39"/>
      <c r="G1133" s="40"/>
      <c r="H1133" s="41"/>
      <c r="I1133" s="42"/>
      <c r="J1133" s="82">
        <f t="shared" si="84"/>
        <v>0</v>
      </c>
      <c r="K1133" s="43"/>
      <c r="L1133" s="83" t="str">
        <f t="shared" si="85"/>
        <v/>
      </c>
      <c r="M1133" s="53"/>
      <c r="Q1133" s="12"/>
      <c r="S1133"/>
    </row>
    <row r="1134" spans="1:19" x14ac:dyDescent="0.25">
      <c r="A1134" s="12" t="str">
        <f t="shared" si="83"/>
        <v/>
      </c>
      <c r="B1134" s="16"/>
      <c r="C1134" s="17"/>
      <c r="D1134" s="18"/>
      <c r="E1134" s="29"/>
      <c r="F1134" s="27"/>
      <c r="G1134" s="28"/>
      <c r="H1134" s="19"/>
      <c r="I1134" s="23"/>
      <c r="J1134" s="82">
        <f t="shared" si="84"/>
        <v>0</v>
      </c>
      <c r="K1134" s="30"/>
      <c r="L1134" s="83" t="str">
        <f t="shared" si="85"/>
        <v/>
      </c>
      <c r="M1134" s="23"/>
      <c r="Q1134" s="12"/>
      <c r="S1134"/>
    </row>
    <row r="1135" spans="1:19" x14ac:dyDescent="0.25">
      <c r="A1135" s="12" t="str">
        <f t="shared" si="83"/>
        <v/>
      </c>
      <c r="B1135" s="16"/>
      <c r="C1135" s="17"/>
      <c r="D1135" s="18"/>
      <c r="E1135" s="29"/>
      <c r="F1135" s="39"/>
      <c r="G1135" s="40"/>
      <c r="H1135" s="41"/>
      <c r="I1135" s="42"/>
      <c r="J1135" s="82">
        <f t="shared" si="84"/>
        <v>0</v>
      </c>
      <c r="K1135" s="43"/>
      <c r="L1135" s="83" t="str">
        <f t="shared" si="85"/>
        <v/>
      </c>
      <c r="M1135" s="53"/>
      <c r="Q1135" s="12"/>
      <c r="S1135"/>
    </row>
    <row r="1136" spans="1:19" x14ac:dyDescent="0.25">
      <c r="A1136" s="12" t="str">
        <f t="shared" si="83"/>
        <v/>
      </c>
      <c r="B1136" s="16"/>
      <c r="C1136" s="17"/>
      <c r="D1136" s="18"/>
      <c r="E1136" s="29"/>
      <c r="F1136" s="27"/>
      <c r="G1136" s="28"/>
      <c r="H1136" s="19"/>
      <c r="I1136" s="23"/>
      <c r="J1136" s="82">
        <f t="shared" si="84"/>
        <v>0</v>
      </c>
      <c r="K1136" s="30"/>
      <c r="L1136" s="83" t="str">
        <f t="shared" si="85"/>
        <v/>
      </c>
      <c r="M1136" s="23"/>
      <c r="Q1136" s="12"/>
      <c r="S1136"/>
    </row>
    <row r="1137" spans="1:19" x14ac:dyDescent="0.25">
      <c r="A1137" s="12" t="str">
        <f t="shared" si="83"/>
        <v/>
      </c>
      <c r="B1137" s="16"/>
      <c r="C1137" s="17"/>
      <c r="D1137" s="18"/>
      <c r="E1137" s="29"/>
      <c r="F1137" s="39"/>
      <c r="G1137" s="40"/>
      <c r="H1137" s="41"/>
      <c r="I1137" s="42"/>
      <c r="J1137" s="82">
        <f t="shared" si="84"/>
        <v>0</v>
      </c>
      <c r="K1137" s="43"/>
      <c r="L1137" s="83" t="str">
        <f t="shared" si="85"/>
        <v/>
      </c>
      <c r="M1137" s="53"/>
      <c r="Q1137" s="12"/>
      <c r="S1137"/>
    </row>
    <row r="1138" spans="1:19" x14ac:dyDescent="0.25">
      <c r="A1138" s="12" t="str">
        <f t="shared" si="83"/>
        <v/>
      </c>
      <c r="B1138" s="16"/>
      <c r="C1138" s="17"/>
      <c r="D1138" s="18"/>
      <c r="E1138" s="29"/>
      <c r="F1138" s="27"/>
      <c r="G1138" s="28"/>
      <c r="H1138" s="19"/>
      <c r="I1138" s="23"/>
      <c r="J1138" s="82">
        <f t="shared" si="84"/>
        <v>0</v>
      </c>
      <c r="K1138" s="30"/>
      <c r="L1138" s="83" t="str">
        <f t="shared" si="85"/>
        <v/>
      </c>
      <c r="M1138" s="23"/>
      <c r="Q1138" s="12"/>
      <c r="S1138"/>
    </row>
    <row r="1139" spans="1:19" x14ac:dyDescent="0.25">
      <c r="A1139" s="12" t="str">
        <f t="shared" si="83"/>
        <v/>
      </c>
      <c r="B1139" s="16"/>
      <c r="C1139" s="17"/>
      <c r="D1139" s="18"/>
      <c r="E1139" s="29"/>
      <c r="F1139" s="39"/>
      <c r="G1139" s="40"/>
      <c r="H1139" s="41"/>
      <c r="I1139" s="42"/>
      <c r="J1139" s="82">
        <f t="shared" si="84"/>
        <v>0</v>
      </c>
      <c r="K1139" s="43"/>
      <c r="L1139" s="83" t="str">
        <f t="shared" si="85"/>
        <v/>
      </c>
      <c r="M1139" s="53"/>
      <c r="Q1139" s="12"/>
      <c r="S1139"/>
    </row>
    <row r="1140" spans="1:19" x14ac:dyDescent="0.25">
      <c r="A1140" s="12" t="str">
        <f t="shared" ref="A1140:A1203" si="86">IFERROR(DATE(B1140,C1140,D1140),"")</f>
        <v/>
      </c>
      <c r="B1140" s="16"/>
      <c r="C1140" s="17"/>
      <c r="D1140" s="18"/>
      <c r="E1140" s="29"/>
      <c r="F1140" s="27"/>
      <c r="G1140" s="28"/>
      <c r="H1140" s="19"/>
      <c r="I1140" s="23"/>
      <c r="J1140" s="82">
        <f t="shared" ref="J1140:J1203" si="87">IF(E1140="entrada",H1140*I1140,H1140*I1140*-1)</f>
        <v>0</v>
      </c>
      <c r="K1140" s="30"/>
      <c r="L1140" s="83" t="str">
        <f t="shared" ref="L1140:L1203" si="88">IF(J1140=0,"",SUM(L1139,J1140))</f>
        <v/>
      </c>
      <c r="M1140" s="23"/>
      <c r="Q1140" s="12"/>
      <c r="S1140"/>
    </row>
    <row r="1141" spans="1:19" x14ac:dyDescent="0.25">
      <c r="A1141" s="12" t="str">
        <f t="shared" si="86"/>
        <v/>
      </c>
      <c r="B1141" s="16"/>
      <c r="C1141" s="17"/>
      <c r="D1141" s="18"/>
      <c r="E1141" s="29"/>
      <c r="F1141" s="39"/>
      <c r="G1141" s="40"/>
      <c r="H1141" s="41"/>
      <c r="I1141" s="42"/>
      <c r="J1141" s="82">
        <f t="shared" si="87"/>
        <v>0</v>
      </c>
      <c r="K1141" s="43"/>
      <c r="L1141" s="83" t="str">
        <f t="shared" si="88"/>
        <v/>
      </c>
      <c r="M1141" s="53"/>
      <c r="Q1141" s="12"/>
      <c r="S1141"/>
    </row>
    <row r="1142" spans="1:19" x14ac:dyDescent="0.25">
      <c r="A1142" s="12" t="str">
        <f t="shared" si="86"/>
        <v/>
      </c>
      <c r="B1142" s="16"/>
      <c r="C1142" s="17"/>
      <c r="D1142" s="18"/>
      <c r="E1142" s="29"/>
      <c r="F1142" s="27"/>
      <c r="G1142" s="28"/>
      <c r="H1142" s="19"/>
      <c r="I1142" s="23"/>
      <c r="J1142" s="82">
        <f t="shared" si="87"/>
        <v>0</v>
      </c>
      <c r="K1142" s="30"/>
      <c r="L1142" s="83" t="str">
        <f t="shared" si="88"/>
        <v/>
      </c>
      <c r="M1142" s="23"/>
      <c r="Q1142" s="12"/>
      <c r="S1142"/>
    </row>
    <row r="1143" spans="1:19" x14ac:dyDescent="0.25">
      <c r="A1143" s="12" t="str">
        <f t="shared" si="86"/>
        <v/>
      </c>
      <c r="B1143" s="16"/>
      <c r="C1143" s="17"/>
      <c r="D1143" s="18"/>
      <c r="E1143" s="29"/>
      <c r="F1143" s="39"/>
      <c r="G1143" s="40"/>
      <c r="H1143" s="41"/>
      <c r="I1143" s="42"/>
      <c r="J1143" s="82">
        <f t="shared" si="87"/>
        <v>0</v>
      </c>
      <c r="K1143" s="43"/>
      <c r="L1143" s="83" t="str">
        <f t="shared" si="88"/>
        <v/>
      </c>
      <c r="M1143" s="53"/>
      <c r="Q1143" s="12"/>
      <c r="S1143"/>
    </row>
    <row r="1144" spans="1:19" x14ac:dyDescent="0.25">
      <c r="A1144" s="12" t="str">
        <f t="shared" si="86"/>
        <v/>
      </c>
      <c r="B1144" s="16"/>
      <c r="C1144" s="17"/>
      <c r="D1144" s="18"/>
      <c r="E1144" s="29"/>
      <c r="F1144" s="27"/>
      <c r="G1144" s="28"/>
      <c r="H1144" s="19"/>
      <c r="I1144" s="23"/>
      <c r="J1144" s="82">
        <f t="shared" si="87"/>
        <v>0</v>
      </c>
      <c r="K1144" s="30"/>
      <c r="L1144" s="83" t="str">
        <f t="shared" si="88"/>
        <v/>
      </c>
      <c r="M1144" s="23"/>
      <c r="Q1144" s="12"/>
      <c r="S1144"/>
    </row>
    <row r="1145" spans="1:19" x14ac:dyDescent="0.25">
      <c r="A1145" s="12" t="str">
        <f t="shared" si="86"/>
        <v/>
      </c>
      <c r="B1145" s="16"/>
      <c r="C1145" s="17"/>
      <c r="D1145" s="18"/>
      <c r="E1145" s="29"/>
      <c r="F1145" s="39"/>
      <c r="G1145" s="40"/>
      <c r="H1145" s="41"/>
      <c r="I1145" s="42"/>
      <c r="J1145" s="82">
        <f t="shared" si="87"/>
        <v>0</v>
      </c>
      <c r="K1145" s="43"/>
      <c r="L1145" s="83" t="str">
        <f t="shared" si="88"/>
        <v/>
      </c>
      <c r="M1145" s="53"/>
      <c r="Q1145" s="12"/>
      <c r="S1145"/>
    </row>
    <row r="1146" spans="1:19" x14ac:dyDescent="0.25">
      <c r="A1146" s="12" t="str">
        <f t="shared" si="86"/>
        <v/>
      </c>
      <c r="B1146" s="16"/>
      <c r="C1146" s="17"/>
      <c r="D1146" s="18"/>
      <c r="E1146" s="29"/>
      <c r="F1146" s="27"/>
      <c r="G1146" s="28"/>
      <c r="H1146" s="19"/>
      <c r="I1146" s="23"/>
      <c r="J1146" s="82">
        <f t="shared" si="87"/>
        <v>0</v>
      </c>
      <c r="K1146" s="30"/>
      <c r="L1146" s="83" t="str">
        <f t="shared" si="88"/>
        <v/>
      </c>
      <c r="M1146" s="23"/>
      <c r="Q1146" s="12"/>
      <c r="S1146"/>
    </row>
    <row r="1147" spans="1:19" x14ac:dyDescent="0.25">
      <c r="A1147" s="12" t="str">
        <f t="shared" si="86"/>
        <v/>
      </c>
      <c r="B1147" s="16"/>
      <c r="C1147" s="17"/>
      <c r="D1147" s="18"/>
      <c r="E1147" s="29"/>
      <c r="F1147" s="39"/>
      <c r="G1147" s="40"/>
      <c r="H1147" s="41"/>
      <c r="I1147" s="42"/>
      <c r="J1147" s="82">
        <f t="shared" si="87"/>
        <v>0</v>
      </c>
      <c r="K1147" s="43"/>
      <c r="L1147" s="83" t="str">
        <f t="shared" si="88"/>
        <v/>
      </c>
      <c r="M1147" s="53"/>
      <c r="Q1147" s="12"/>
      <c r="S1147"/>
    </row>
    <row r="1148" spans="1:19" x14ac:dyDescent="0.25">
      <c r="A1148" s="12" t="str">
        <f t="shared" si="86"/>
        <v/>
      </c>
      <c r="B1148" s="16"/>
      <c r="C1148" s="17"/>
      <c r="D1148" s="18"/>
      <c r="E1148" s="29"/>
      <c r="F1148" s="27"/>
      <c r="G1148" s="28"/>
      <c r="H1148" s="19"/>
      <c r="I1148" s="23"/>
      <c r="J1148" s="82">
        <f t="shared" si="87"/>
        <v>0</v>
      </c>
      <c r="K1148" s="30"/>
      <c r="L1148" s="83" t="str">
        <f t="shared" si="88"/>
        <v/>
      </c>
      <c r="M1148" s="23"/>
      <c r="Q1148" s="12"/>
      <c r="S1148"/>
    </row>
    <row r="1149" spans="1:19" x14ac:dyDescent="0.25">
      <c r="A1149" s="12" t="str">
        <f t="shared" si="86"/>
        <v/>
      </c>
      <c r="B1149" s="16"/>
      <c r="C1149" s="17"/>
      <c r="D1149" s="18"/>
      <c r="E1149" s="29"/>
      <c r="F1149" s="39"/>
      <c r="G1149" s="40"/>
      <c r="H1149" s="41"/>
      <c r="I1149" s="42"/>
      <c r="J1149" s="82">
        <f t="shared" si="87"/>
        <v>0</v>
      </c>
      <c r="K1149" s="43"/>
      <c r="L1149" s="83" t="str">
        <f t="shared" si="88"/>
        <v/>
      </c>
      <c r="M1149" s="53"/>
      <c r="Q1149" s="12"/>
      <c r="S1149"/>
    </row>
    <row r="1150" spans="1:19" x14ac:dyDescent="0.25">
      <c r="A1150" s="12" t="str">
        <f t="shared" si="86"/>
        <v/>
      </c>
      <c r="B1150" s="16"/>
      <c r="C1150" s="17"/>
      <c r="D1150" s="18"/>
      <c r="E1150" s="29"/>
      <c r="F1150" s="27"/>
      <c r="G1150" s="28"/>
      <c r="H1150" s="19"/>
      <c r="I1150" s="23"/>
      <c r="J1150" s="82">
        <f t="shared" si="87"/>
        <v>0</v>
      </c>
      <c r="K1150" s="30"/>
      <c r="L1150" s="83" t="str">
        <f t="shared" si="88"/>
        <v/>
      </c>
      <c r="M1150" s="23"/>
      <c r="Q1150" s="12"/>
      <c r="S1150"/>
    </row>
    <row r="1151" spans="1:19" x14ac:dyDescent="0.25">
      <c r="A1151" s="12" t="str">
        <f t="shared" si="86"/>
        <v/>
      </c>
      <c r="B1151" s="16"/>
      <c r="C1151" s="17"/>
      <c r="D1151" s="18"/>
      <c r="E1151" s="29"/>
      <c r="F1151" s="39"/>
      <c r="G1151" s="40"/>
      <c r="H1151" s="41"/>
      <c r="I1151" s="42"/>
      <c r="J1151" s="82">
        <f t="shared" si="87"/>
        <v>0</v>
      </c>
      <c r="K1151" s="43"/>
      <c r="L1151" s="83" t="str">
        <f t="shared" si="88"/>
        <v/>
      </c>
      <c r="M1151" s="53"/>
      <c r="Q1151" s="12"/>
      <c r="S1151"/>
    </row>
    <row r="1152" spans="1:19" x14ac:dyDescent="0.25">
      <c r="A1152" s="12" t="str">
        <f t="shared" si="86"/>
        <v/>
      </c>
      <c r="B1152" s="16"/>
      <c r="C1152" s="17"/>
      <c r="D1152" s="18"/>
      <c r="E1152" s="29"/>
      <c r="F1152" s="27"/>
      <c r="G1152" s="28"/>
      <c r="H1152" s="19"/>
      <c r="I1152" s="23"/>
      <c r="J1152" s="82">
        <f t="shared" si="87"/>
        <v>0</v>
      </c>
      <c r="K1152" s="30"/>
      <c r="L1152" s="83" t="str">
        <f t="shared" si="88"/>
        <v/>
      </c>
      <c r="M1152" s="23"/>
      <c r="Q1152" s="12"/>
      <c r="S1152"/>
    </row>
    <row r="1153" spans="1:19" x14ac:dyDescent="0.25">
      <c r="A1153" s="12" t="str">
        <f t="shared" si="86"/>
        <v/>
      </c>
      <c r="B1153" s="16"/>
      <c r="C1153" s="17"/>
      <c r="D1153" s="18"/>
      <c r="E1153" s="29"/>
      <c r="F1153" s="39"/>
      <c r="G1153" s="40"/>
      <c r="H1153" s="41"/>
      <c r="I1153" s="42"/>
      <c r="J1153" s="82">
        <f t="shared" si="87"/>
        <v>0</v>
      </c>
      <c r="K1153" s="43"/>
      <c r="L1153" s="83" t="str">
        <f t="shared" si="88"/>
        <v/>
      </c>
      <c r="M1153" s="53"/>
      <c r="Q1153" s="12"/>
      <c r="S1153"/>
    </row>
    <row r="1154" spans="1:19" x14ac:dyDescent="0.25">
      <c r="A1154" s="12" t="str">
        <f t="shared" si="86"/>
        <v/>
      </c>
      <c r="B1154" s="16"/>
      <c r="C1154" s="17"/>
      <c r="D1154" s="18"/>
      <c r="E1154" s="29"/>
      <c r="F1154" s="27"/>
      <c r="G1154" s="28"/>
      <c r="H1154" s="19"/>
      <c r="I1154" s="23"/>
      <c r="J1154" s="82">
        <f t="shared" si="87"/>
        <v>0</v>
      </c>
      <c r="K1154" s="30"/>
      <c r="L1154" s="83" t="str">
        <f t="shared" si="88"/>
        <v/>
      </c>
      <c r="M1154" s="23"/>
      <c r="Q1154" s="12"/>
      <c r="S1154"/>
    </row>
    <row r="1155" spans="1:19" x14ac:dyDescent="0.25">
      <c r="A1155" s="12" t="str">
        <f t="shared" si="86"/>
        <v/>
      </c>
      <c r="B1155" s="16"/>
      <c r="C1155" s="17"/>
      <c r="D1155" s="18"/>
      <c r="E1155" s="29"/>
      <c r="F1155" s="39"/>
      <c r="G1155" s="40"/>
      <c r="H1155" s="41"/>
      <c r="I1155" s="42"/>
      <c r="J1155" s="82">
        <f t="shared" si="87"/>
        <v>0</v>
      </c>
      <c r="K1155" s="43"/>
      <c r="L1155" s="83" t="str">
        <f t="shared" si="88"/>
        <v/>
      </c>
      <c r="M1155" s="53"/>
      <c r="Q1155" s="12"/>
      <c r="S1155"/>
    </row>
    <row r="1156" spans="1:19" x14ac:dyDescent="0.25">
      <c r="A1156" s="12" t="str">
        <f t="shared" si="86"/>
        <v/>
      </c>
      <c r="B1156" s="16"/>
      <c r="C1156" s="17"/>
      <c r="D1156" s="18"/>
      <c r="E1156" s="29"/>
      <c r="F1156" s="27"/>
      <c r="G1156" s="28"/>
      <c r="H1156" s="19"/>
      <c r="I1156" s="23"/>
      <c r="J1156" s="82">
        <f t="shared" si="87"/>
        <v>0</v>
      </c>
      <c r="K1156" s="30"/>
      <c r="L1156" s="83" t="str">
        <f t="shared" si="88"/>
        <v/>
      </c>
      <c r="M1156" s="23"/>
      <c r="Q1156" s="12"/>
      <c r="S1156"/>
    </row>
    <row r="1157" spans="1:19" x14ac:dyDescent="0.25">
      <c r="A1157" s="12" t="str">
        <f t="shared" si="86"/>
        <v/>
      </c>
      <c r="B1157" s="16"/>
      <c r="C1157" s="17"/>
      <c r="D1157" s="18"/>
      <c r="E1157" s="29"/>
      <c r="F1157" s="39"/>
      <c r="G1157" s="40"/>
      <c r="H1157" s="41"/>
      <c r="I1157" s="42"/>
      <c r="J1157" s="82">
        <f t="shared" si="87"/>
        <v>0</v>
      </c>
      <c r="K1157" s="43"/>
      <c r="L1157" s="83" t="str">
        <f t="shared" si="88"/>
        <v/>
      </c>
      <c r="M1157" s="53"/>
      <c r="Q1157" s="12"/>
      <c r="S1157"/>
    </row>
    <row r="1158" spans="1:19" x14ac:dyDescent="0.25">
      <c r="A1158" s="12" t="str">
        <f t="shared" si="86"/>
        <v/>
      </c>
      <c r="B1158" s="16"/>
      <c r="C1158" s="17"/>
      <c r="D1158" s="18"/>
      <c r="E1158" s="29"/>
      <c r="F1158" s="27"/>
      <c r="G1158" s="28"/>
      <c r="H1158" s="19"/>
      <c r="I1158" s="23"/>
      <c r="J1158" s="82">
        <f t="shared" si="87"/>
        <v>0</v>
      </c>
      <c r="K1158" s="30"/>
      <c r="L1158" s="83" t="str">
        <f t="shared" si="88"/>
        <v/>
      </c>
      <c r="M1158" s="23"/>
      <c r="Q1158" s="12"/>
      <c r="S1158"/>
    </row>
    <row r="1159" spans="1:19" x14ac:dyDescent="0.25">
      <c r="A1159" s="12" t="str">
        <f t="shared" si="86"/>
        <v/>
      </c>
      <c r="B1159" s="16"/>
      <c r="C1159" s="17"/>
      <c r="D1159" s="18"/>
      <c r="E1159" s="29"/>
      <c r="F1159" s="39"/>
      <c r="G1159" s="40"/>
      <c r="H1159" s="41"/>
      <c r="I1159" s="42"/>
      <c r="J1159" s="82">
        <f t="shared" si="87"/>
        <v>0</v>
      </c>
      <c r="K1159" s="43"/>
      <c r="L1159" s="83" t="str">
        <f t="shared" si="88"/>
        <v/>
      </c>
      <c r="M1159" s="53"/>
      <c r="Q1159" s="12"/>
      <c r="S1159"/>
    </row>
    <row r="1160" spans="1:19" x14ac:dyDescent="0.25">
      <c r="A1160" s="12" t="str">
        <f t="shared" si="86"/>
        <v/>
      </c>
      <c r="B1160" s="16"/>
      <c r="C1160" s="17"/>
      <c r="D1160" s="18"/>
      <c r="E1160" s="29"/>
      <c r="F1160" s="27"/>
      <c r="G1160" s="28"/>
      <c r="H1160" s="19"/>
      <c r="I1160" s="23"/>
      <c r="J1160" s="82">
        <f t="shared" si="87"/>
        <v>0</v>
      </c>
      <c r="K1160" s="30"/>
      <c r="L1160" s="83" t="str">
        <f t="shared" si="88"/>
        <v/>
      </c>
      <c r="M1160" s="23"/>
      <c r="Q1160" s="12"/>
      <c r="S1160"/>
    </row>
    <row r="1161" spans="1:19" x14ac:dyDescent="0.25">
      <c r="A1161" s="12" t="str">
        <f t="shared" si="86"/>
        <v/>
      </c>
      <c r="B1161" s="16"/>
      <c r="C1161" s="17"/>
      <c r="D1161" s="18"/>
      <c r="E1161" s="29"/>
      <c r="F1161" s="39"/>
      <c r="G1161" s="40"/>
      <c r="H1161" s="41"/>
      <c r="I1161" s="42"/>
      <c r="J1161" s="82">
        <f t="shared" si="87"/>
        <v>0</v>
      </c>
      <c r="K1161" s="43"/>
      <c r="L1161" s="83" t="str">
        <f t="shared" si="88"/>
        <v/>
      </c>
      <c r="M1161" s="53"/>
      <c r="Q1161" s="12"/>
      <c r="S1161"/>
    </row>
    <row r="1162" spans="1:19" x14ac:dyDescent="0.25">
      <c r="A1162" s="12" t="str">
        <f t="shared" si="86"/>
        <v/>
      </c>
      <c r="B1162" s="16"/>
      <c r="C1162" s="17"/>
      <c r="D1162" s="18"/>
      <c r="E1162" s="29"/>
      <c r="F1162" s="27"/>
      <c r="G1162" s="28"/>
      <c r="H1162" s="19"/>
      <c r="I1162" s="23"/>
      <c r="J1162" s="82">
        <f t="shared" si="87"/>
        <v>0</v>
      </c>
      <c r="K1162" s="30"/>
      <c r="L1162" s="83" t="str">
        <f t="shared" si="88"/>
        <v/>
      </c>
      <c r="M1162" s="23"/>
      <c r="Q1162" s="12"/>
      <c r="S1162"/>
    </row>
    <row r="1163" spans="1:19" x14ac:dyDescent="0.25">
      <c r="A1163" s="12" t="str">
        <f t="shared" si="86"/>
        <v/>
      </c>
      <c r="B1163" s="16"/>
      <c r="C1163" s="17"/>
      <c r="D1163" s="18"/>
      <c r="E1163" s="29"/>
      <c r="F1163" s="39"/>
      <c r="G1163" s="40"/>
      <c r="H1163" s="41"/>
      <c r="I1163" s="42"/>
      <c r="J1163" s="82">
        <f t="shared" si="87"/>
        <v>0</v>
      </c>
      <c r="K1163" s="43"/>
      <c r="L1163" s="83" t="str">
        <f t="shared" si="88"/>
        <v/>
      </c>
      <c r="M1163" s="53"/>
      <c r="Q1163" s="12"/>
      <c r="S1163"/>
    </row>
    <row r="1164" spans="1:19" x14ac:dyDescent="0.25">
      <c r="A1164" s="12" t="str">
        <f t="shared" si="86"/>
        <v/>
      </c>
      <c r="B1164" s="16"/>
      <c r="C1164" s="17"/>
      <c r="D1164" s="18"/>
      <c r="E1164" s="29"/>
      <c r="F1164" s="27"/>
      <c r="G1164" s="28"/>
      <c r="H1164" s="19"/>
      <c r="I1164" s="23"/>
      <c r="J1164" s="82">
        <f t="shared" si="87"/>
        <v>0</v>
      </c>
      <c r="K1164" s="30"/>
      <c r="L1164" s="83" t="str">
        <f t="shared" si="88"/>
        <v/>
      </c>
      <c r="M1164" s="23"/>
      <c r="Q1164" s="12"/>
      <c r="S1164"/>
    </row>
    <row r="1165" spans="1:19" x14ac:dyDescent="0.25">
      <c r="A1165" s="12" t="str">
        <f t="shared" si="86"/>
        <v/>
      </c>
      <c r="B1165" s="16"/>
      <c r="C1165" s="17"/>
      <c r="D1165" s="18"/>
      <c r="E1165" s="29"/>
      <c r="F1165" s="39"/>
      <c r="G1165" s="40"/>
      <c r="H1165" s="41"/>
      <c r="I1165" s="42"/>
      <c r="J1165" s="82">
        <f t="shared" si="87"/>
        <v>0</v>
      </c>
      <c r="K1165" s="43"/>
      <c r="L1165" s="83" t="str">
        <f t="shared" si="88"/>
        <v/>
      </c>
      <c r="M1165" s="53"/>
      <c r="Q1165" s="12"/>
      <c r="S1165"/>
    </row>
    <row r="1166" spans="1:19" x14ac:dyDescent="0.25">
      <c r="A1166" s="12" t="str">
        <f t="shared" si="86"/>
        <v/>
      </c>
      <c r="B1166" s="16"/>
      <c r="C1166" s="17"/>
      <c r="D1166" s="18"/>
      <c r="E1166" s="29"/>
      <c r="F1166" s="27"/>
      <c r="G1166" s="28"/>
      <c r="H1166" s="19"/>
      <c r="I1166" s="23"/>
      <c r="J1166" s="82">
        <f t="shared" si="87"/>
        <v>0</v>
      </c>
      <c r="K1166" s="30"/>
      <c r="L1166" s="83" t="str">
        <f t="shared" si="88"/>
        <v/>
      </c>
      <c r="M1166" s="23"/>
      <c r="Q1166" s="12"/>
      <c r="S1166"/>
    </row>
    <row r="1167" spans="1:19" x14ac:dyDescent="0.25">
      <c r="A1167" s="12" t="str">
        <f t="shared" si="86"/>
        <v/>
      </c>
      <c r="B1167" s="16"/>
      <c r="C1167" s="17"/>
      <c r="D1167" s="18"/>
      <c r="E1167" s="29"/>
      <c r="F1167" s="39"/>
      <c r="G1167" s="40"/>
      <c r="H1167" s="41"/>
      <c r="I1167" s="42"/>
      <c r="J1167" s="82">
        <f t="shared" si="87"/>
        <v>0</v>
      </c>
      <c r="K1167" s="43"/>
      <c r="L1167" s="83" t="str">
        <f t="shared" si="88"/>
        <v/>
      </c>
      <c r="M1167" s="53"/>
      <c r="Q1167" s="12"/>
      <c r="S1167"/>
    </row>
    <row r="1168" spans="1:19" x14ac:dyDescent="0.25">
      <c r="A1168" s="12" t="str">
        <f t="shared" si="86"/>
        <v/>
      </c>
      <c r="B1168" s="16"/>
      <c r="C1168" s="17"/>
      <c r="D1168" s="18"/>
      <c r="E1168" s="29"/>
      <c r="F1168" s="27"/>
      <c r="G1168" s="28"/>
      <c r="H1168" s="19"/>
      <c r="I1168" s="23"/>
      <c r="J1168" s="82">
        <f t="shared" si="87"/>
        <v>0</v>
      </c>
      <c r="K1168" s="30"/>
      <c r="L1168" s="83" t="str">
        <f t="shared" si="88"/>
        <v/>
      </c>
      <c r="M1168" s="23"/>
      <c r="Q1168" s="12"/>
      <c r="S1168"/>
    </row>
    <row r="1169" spans="1:19" x14ac:dyDescent="0.25">
      <c r="A1169" s="12" t="str">
        <f t="shared" si="86"/>
        <v/>
      </c>
      <c r="B1169" s="16"/>
      <c r="C1169" s="17"/>
      <c r="D1169" s="18"/>
      <c r="E1169" s="29"/>
      <c r="F1169" s="39"/>
      <c r="G1169" s="40"/>
      <c r="H1169" s="41"/>
      <c r="I1169" s="42"/>
      <c r="J1169" s="82">
        <f t="shared" si="87"/>
        <v>0</v>
      </c>
      <c r="K1169" s="43"/>
      <c r="L1169" s="83" t="str">
        <f t="shared" si="88"/>
        <v/>
      </c>
      <c r="M1169" s="53"/>
      <c r="Q1169" s="12"/>
      <c r="S1169"/>
    </row>
    <row r="1170" spans="1:19" x14ac:dyDescent="0.25">
      <c r="A1170" s="12" t="str">
        <f t="shared" si="86"/>
        <v/>
      </c>
      <c r="B1170" s="16"/>
      <c r="C1170" s="17"/>
      <c r="D1170" s="18"/>
      <c r="E1170" s="29"/>
      <c r="F1170" s="27"/>
      <c r="G1170" s="28"/>
      <c r="H1170" s="19"/>
      <c r="I1170" s="23"/>
      <c r="J1170" s="82">
        <f t="shared" si="87"/>
        <v>0</v>
      </c>
      <c r="K1170" s="30"/>
      <c r="L1170" s="83" t="str">
        <f t="shared" si="88"/>
        <v/>
      </c>
      <c r="M1170" s="23"/>
      <c r="Q1170" s="12"/>
      <c r="S1170"/>
    </row>
    <row r="1171" spans="1:19" x14ac:dyDescent="0.25">
      <c r="A1171" s="12" t="str">
        <f t="shared" si="86"/>
        <v/>
      </c>
      <c r="B1171" s="16"/>
      <c r="C1171" s="17"/>
      <c r="D1171" s="18"/>
      <c r="E1171" s="29"/>
      <c r="F1171" s="39"/>
      <c r="G1171" s="40"/>
      <c r="H1171" s="41"/>
      <c r="I1171" s="42"/>
      <c r="J1171" s="82">
        <f t="shared" si="87"/>
        <v>0</v>
      </c>
      <c r="K1171" s="43"/>
      <c r="L1171" s="83" t="str">
        <f t="shared" si="88"/>
        <v/>
      </c>
      <c r="M1171" s="53"/>
      <c r="Q1171" s="12"/>
      <c r="S1171"/>
    </row>
    <row r="1172" spans="1:19" x14ac:dyDescent="0.25">
      <c r="A1172" s="12" t="str">
        <f t="shared" si="86"/>
        <v/>
      </c>
      <c r="B1172" s="16"/>
      <c r="C1172" s="17"/>
      <c r="D1172" s="18"/>
      <c r="E1172" s="29"/>
      <c r="F1172" s="27"/>
      <c r="G1172" s="28"/>
      <c r="H1172" s="19"/>
      <c r="I1172" s="23"/>
      <c r="J1172" s="82">
        <f t="shared" si="87"/>
        <v>0</v>
      </c>
      <c r="K1172" s="30"/>
      <c r="L1172" s="83" t="str">
        <f t="shared" si="88"/>
        <v/>
      </c>
      <c r="M1172" s="23"/>
      <c r="Q1172" s="12"/>
      <c r="S1172"/>
    </row>
    <row r="1173" spans="1:19" x14ac:dyDescent="0.25">
      <c r="A1173" s="12" t="str">
        <f t="shared" si="86"/>
        <v/>
      </c>
      <c r="B1173" s="16"/>
      <c r="C1173" s="17"/>
      <c r="D1173" s="18"/>
      <c r="E1173" s="29"/>
      <c r="F1173" s="39"/>
      <c r="G1173" s="40"/>
      <c r="H1173" s="41"/>
      <c r="I1173" s="42"/>
      <c r="J1173" s="82">
        <f t="shared" si="87"/>
        <v>0</v>
      </c>
      <c r="K1173" s="43"/>
      <c r="L1173" s="83" t="str">
        <f t="shared" si="88"/>
        <v/>
      </c>
      <c r="M1173" s="53"/>
      <c r="Q1173" s="12"/>
      <c r="S1173"/>
    </row>
    <row r="1174" spans="1:19" x14ac:dyDescent="0.25">
      <c r="A1174" s="12" t="str">
        <f t="shared" si="86"/>
        <v/>
      </c>
      <c r="B1174" s="16"/>
      <c r="C1174" s="17"/>
      <c r="D1174" s="18"/>
      <c r="E1174" s="29"/>
      <c r="F1174" s="27"/>
      <c r="G1174" s="28"/>
      <c r="H1174" s="19"/>
      <c r="I1174" s="23"/>
      <c r="J1174" s="82">
        <f t="shared" si="87"/>
        <v>0</v>
      </c>
      <c r="K1174" s="30"/>
      <c r="L1174" s="83" t="str">
        <f t="shared" si="88"/>
        <v/>
      </c>
      <c r="M1174" s="23"/>
      <c r="Q1174" s="12"/>
      <c r="S1174"/>
    </row>
    <row r="1175" spans="1:19" x14ac:dyDescent="0.25">
      <c r="A1175" s="12" t="str">
        <f t="shared" si="86"/>
        <v/>
      </c>
      <c r="B1175" s="16"/>
      <c r="C1175" s="17"/>
      <c r="D1175" s="18"/>
      <c r="E1175" s="29"/>
      <c r="F1175" s="39"/>
      <c r="G1175" s="40"/>
      <c r="H1175" s="41"/>
      <c r="I1175" s="42"/>
      <c r="J1175" s="82">
        <f t="shared" si="87"/>
        <v>0</v>
      </c>
      <c r="K1175" s="43"/>
      <c r="L1175" s="83" t="str">
        <f t="shared" si="88"/>
        <v/>
      </c>
      <c r="M1175" s="53"/>
      <c r="Q1175" s="12"/>
      <c r="S1175"/>
    </row>
    <row r="1176" spans="1:19" x14ac:dyDescent="0.25">
      <c r="A1176" s="12" t="str">
        <f t="shared" si="86"/>
        <v/>
      </c>
      <c r="B1176" s="16"/>
      <c r="C1176" s="17"/>
      <c r="D1176" s="18"/>
      <c r="E1176" s="29"/>
      <c r="F1176" s="27"/>
      <c r="G1176" s="28"/>
      <c r="H1176" s="19"/>
      <c r="I1176" s="23"/>
      <c r="J1176" s="82">
        <f t="shared" si="87"/>
        <v>0</v>
      </c>
      <c r="K1176" s="30"/>
      <c r="L1176" s="83" t="str">
        <f t="shared" si="88"/>
        <v/>
      </c>
      <c r="M1176" s="23"/>
      <c r="Q1176" s="12"/>
      <c r="S1176"/>
    </row>
    <row r="1177" spans="1:19" x14ac:dyDescent="0.25">
      <c r="A1177" s="12" t="str">
        <f t="shared" si="86"/>
        <v/>
      </c>
      <c r="B1177" s="16"/>
      <c r="C1177" s="17"/>
      <c r="D1177" s="18"/>
      <c r="E1177" s="29"/>
      <c r="F1177" s="39"/>
      <c r="G1177" s="40"/>
      <c r="H1177" s="41"/>
      <c r="I1177" s="42"/>
      <c r="J1177" s="82">
        <f t="shared" si="87"/>
        <v>0</v>
      </c>
      <c r="K1177" s="43"/>
      <c r="L1177" s="83" t="str">
        <f t="shared" si="88"/>
        <v/>
      </c>
      <c r="M1177" s="53"/>
      <c r="Q1177" s="12"/>
      <c r="S1177"/>
    </row>
    <row r="1178" spans="1:19" x14ac:dyDescent="0.25">
      <c r="A1178" s="12" t="str">
        <f t="shared" si="86"/>
        <v/>
      </c>
      <c r="B1178" s="16"/>
      <c r="C1178" s="17"/>
      <c r="D1178" s="18"/>
      <c r="E1178" s="29"/>
      <c r="F1178" s="27"/>
      <c r="G1178" s="28"/>
      <c r="H1178" s="19"/>
      <c r="I1178" s="23"/>
      <c r="J1178" s="82">
        <f t="shared" si="87"/>
        <v>0</v>
      </c>
      <c r="K1178" s="30"/>
      <c r="L1178" s="83" t="str">
        <f t="shared" si="88"/>
        <v/>
      </c>
      <c r="M1178" s="23"/>
      <c r="Q1178" s="12"/>
      <c r="S1178"/>
    </row>
    <row r="1179" spans="1:19" x14ac:dyDescent="0.25">
      <c r="A1179" s="12" t="str">
        <f t="shared" si="86"/>
        <v/>
      </c>
      <c r="B1179" s="16"/>
      <c r="C1179" s="17"/>
      <c r="D1179" s="18"/>
      <c r="E1179" s="29"/>
      <c r="F1179" s="39"/>
      <c r="G1179" s="40"/>
      <c r="H1179" s="41"/>
      <c r="I1179" s="42"/>
      <c r="J1179" s="82">
        <f t="shared" si="87"/>
        <v>0</v>
      </c>
      <c r="K1179" s="43"/>
      <c r="L1179" s="83" t="str">
        <f t="shared" si="88"/>
        <v/>
      </c>
      <c r="M1179" s="53"/>
      <c r="Q1179" s="12"/>
      <c r="S1179"/>
    </row>
    <row r="1180" spans="1:19" x14ac:dyDescent="0.25">
      <c r="A1180" s="12" t="str">
        <f t="shared" si="86"/>
        <v/>
      </c>
      <c r="B1180" s="16"/>
      <c r="C1180" s="17"/>
      <c r="D1180" s="18"/>
      <c r="E1180" s="29"/>
      <c r="F1180" s="27"/>
      <c r="G1180" s="28"/>
      <c r="H1180" s="19"/>
      <c r="I1180" s="23"/>
      <c r="J1180" s="82">
        <f t="shared" si="87"/>
        <v>0</v>
      </c>
      <c r="K1180" s="30"/>
      <c r="L1180" s="83" t="str">
        <f t="shared" si="88"/>
        <v/>
      </c>
      <c r="M1180" s="23"/>
      <c r="Q1180" s="12"/>
      <c r="S1180"/>
    </row>
    <row r="1181" spans="1:19" x14ac:dyDescent="0.25">
      <c r="A1181" s="12" t="str">
        <f t="shared" si="86"/>
        <v/>
      </c>
      <c r="B1181" s="16"/>
      <c r="C1181" s="17"/>
      <c r="D1181" s="18"/>
      <c r="E1181" s="29"/>
      <c r="F1181" s="39"/>
      <c r="G1181" s="40"/>
      <c r="H1181" s="41"/>
      <c r="I1181" s="42"/>
      <c r="J1181" s="82">
        <f t="shared" si="87"/>
        <v>0</v>
      </c>
      <c r="K1181" s="43"/>
      <c r="L1181" s="83" t="str">
        <f t="shared" si="88"/>
        <v/>
      </c>
      <c r="M1181" s="53"/>
      <c r="Q1181" s="12"/>
      <c r="S1181"/>
    </row>
    <row r="1182" spans="1:19" x14ac:dyDescent="0.25">
      <c r="A1182" s="12" t="str">
        <f t="shared" si="86"/>
        <v/>
      </c>
      <c r="B1182" s="16"/>
      <c r="C1182" s="17"/>
      <c r="D1182" s="18"/>
      <c r="E1182" s="29"/>
      <c r="F1182" s="27"/>
      <c r="G1182" s="28"/>
      <c r="H1182" s="19"/>
      <c r="I1182" s="23"/>
      <c r="J1182" s="82">
        <f t="shared" si="87"/>
        <v>0</v>
      </c>
      <c r="K1182" s="30"/>
      <c r="L1182" s="83" t="str">
        <f t="shared" si="88"/>
        <v/>
      </c>
      <c r="M1182" s="23"/>
      <c r="Q1182" s="12"/>
      <c r="S1182"/>
    </row>
    <row r="1183" spans="1:19" x14ac:dyDescent="0.25">
      <c r="A1183" s="12" t="str">
        <f t="shared" si="86"/>
        <v/>
      </c>
      <c r="B1183" s="16"/>
      <c r="C1183" s="17"/>
      <c r="D1183" s="18"/>
      <c r="E1183" s="29"/>
      <c r="F1183" s="39"/>
      <c r="G1183" s="40"/>
      <c r="H1183" s="41"/>
      <c r="I1183" s="42"/>
      <c r="J1183" s="82">
        <f t="shared" si="87"/>
        <v>0</v>
      </c>
      <c r="K1183" s="43"/>
      <c r="L1183" s="83" t="str">
        <f t="shared" si="88"/>
        <v/>
      </c>
      <c r="M1183" s="53"/>
      <c r="Q1183" s="12"/>
      <c r="S1183"/>
    </row>
    <row r="1184" spans="1:19" x14ac:dyDescent="0.25">
      <c r="A1184" s="12" t="str">
        <f t="shared" si="86"/>
        <v/>
      </c>
      <c r="B1184" s="16"/>
      <c r="C1184" s="17"/>
      <c r="D1184" s="18"/>
      <c r="E1184" s="29"/>
      <c r="F1184" s="27"/>
      <c r="G1184" s="28"/>
      <c r="H1184" s="19"/>
      <c r="I1184" s="23"/>
      <c r="J1184" s="82">
        <f t="shared" si="87"/>
        <v>0</v>
      </c>
      <c r="K1184" s="30"/>
      <c r="L1184" s="83" t="str">
        <f t="shared" si="88"/>
        <v/>
      </c>
      <c r="M1184" s="23"/>
      <c r="Q1184" s="12"/>
      <c r="S1184"/>
    </row>
    <row r="1185" spans="1:19" x14ac:dyDescent="0.25">
      <c r="A1185" s="12" t="str">
        <f t="shared" si="86"/>
        <v/>
      </c>
      <c r="B1185" s="16"/>
      <c r="C1185" s="17"/>
      <c r="D1185" s="18"/>
      <c r="E1185" s="29"/>
      <c r="F1185" s="39"/>
      <c r="G1185" s="40"/>
      <c r="H1185" s="41"/>
      <c r="I1185" s="42"/>
      <c r="J1185" s="82">
        <f t="shared" si="87"/>
        <v>0</v>
      </c>
      <c r="K1185" s="43"/>
      <c r="L1185" s="83" t="str">
        <f t="shared" si="88"/>
        <v/>
      </c>
      <c r="M1185" s="53"/>
      <c r="Q1185" s="12"/>
      <c r="S1185"/>
    </row>
    <row r="1186" spans="1:19" x14ac:dyDescent="0.25">
      <c r="A1186" s="12" t="str">
        <f t="shared" si="86"/>
        <v/>
      </c>
      <c r="B1186" s="16"/>
      <c r="C1186" s="17"/>
      <c r="D1186" s="18"/>
      <c r="E1186" s="29"/>
      <c r="F1186" s="27"/>
      <c r="G1186" s="28"/>
      <c r="H1186" s="19"/>
      <c r="I1186" s="23"/>
      <c r="J1186" s="82">
        <f t="shared" si="87"/>
        <v>0</v>
      </c>
      <c r="K1186" s="30"/>
      <c r="L1186" s="83" t="str">
        <f t="shared" si="88"/>
        <v/>
      </c>
      <c r="M1186" s="23"/>
      <c r="Q1186" s="12"/>
      <c r="S1186"/>
    </row>
    <row r="1187" spans="1:19" x14ac:dyDescent="0.25">
      <c r="A1187" s="12" t="str">
        <f t="shared" si="86"/>
        <v/>
      </c>
      <c r="B1187" s="16"/>
      <c r="C1187" s="17"/>
      <c r="D1187" s="18"/>
      <c r="E1187" s="29"/>
      <c r="F1187" s="39"/>
      <c r="G1187" s="40"/>
      <c r="H1187" s="41"/>
      <c r="I1187" s="42"/>
      <c r="J1187" s="82">
        <f t="shared" si="87"/>
        <v>0</v>
      </c>
      <c r="K1187" s="43"/>
      <c r="L1187" s="83" t="str">
        <f t="shared" si="88"/>
        <v/>
      </c>
      <c r="M1187" s="53"/>
      <c r="Q1187" s="12"/>
      <c r="S1187"/>
    </row>
    <row r="1188" spans="1:19" x14ac:dyDescent="0.25">
      <c r="A1188" s="12" t="str">
        <f t="shared" si="86"/>
        <v/>
      </c>
      <c r="B1188" s="16"/>
      <c r="C1188" s="17"/>
      <c r="D1188" s="18"/>
      <c r="E1188" s="29"/>
      <c r="F1188" s="27"/>
      <c r="G1188" s="28"/>
      <c r="H1188" s="19"/>
      <c r="I1188" s="23"/>
      <c r="J1188" s="82">
        <f t="shared" si="87"/>
        <v>0</v>
      </c>
      <c r="K1188" s="30"/>
      <c r="L1188" s="83" t="str">
        <f t="shared" si="88"/>
        <v/>
      </c>
      <c r="M1188" s="23"/>
      <c r="Q1188" s="12"/>
      <c r="S1188"/>
    </row>
    <row r="1189" spans="1:19" x14ac:dyDescent="0.25">
      <c r="A1189" s="12" t="str">
        <f t="shared" si="86"/>
        <v/>
      </c>
      <c r="B1189" s="16"/>
      <c r="C1189" s="17"/>
      <c r="D1189" s="18"/>
      <c r="E1189" s="29"/>
      <c r="F1189" s="39"/>
      <c r="G1189" s="40"/>
      <c r="H1189" s="41"/>
      <c r="I1189" s="42"/>
      <c r="J1189" s="82">
        <f t="shared" si="87"/>
        <v>0</v>
      </c>
      <c r="K1189" s="43"/>
      <c r="L1189" s="83" t="str">
        <f t="shared" si="88"/>
        <v/>
      </c>
      <c r="M1189" s="53"/>
      <c r="Q1189" s="12"/>
      <c r="S1189"/>
    </row>
    <row r="1190" spans="1:19" x14ac:dyDescent="0.25">
      <c r="A1190" s="12" t="str">
        <f t="shared" si="86"/>
        <v/>
      </c>
      <c r="B1190" s="16"/>
      <c r="C1190" s="17"/>
      <c r="D1190" s="18"/>
      <c r="E1190" s="29"/>
      <c r="F1190" s="27"/>
      <c r="G1190" s="28"/>
      <c r="H1190" s="19"/>
      <c r="I1190" s="23"/>
      <c r="J1190" s="82">
        <f t="shared" si="87"/>
        <v>0</v>
      </c>
      <c r="K1190" s="30"/>
      <c r="L1190" s="83" t="str">
        <f t="shared" si="88"/>
        <v/>
      </c>
      <c r="M1190" s="23"/>
      <c r="Q1190" s="12"/>
      <c r="S1190"/>
    </row>
    <row r="1191" spans="1:19" x14ac:dyDescent="0.25">
      <c r="A1191" s="12" t="str">
        <f t="shared" si="86"/>
        <v/>
      </c>
      <c r="B1191" s="16"/>
      <c r="C1191" s="17"/>
      <c r="D1191" s="18"/>
      <c r="E1191" s="29"/>
      <c r="F1191" s="39"/>
      <c r="G1191" s="40"/>
      <c r="H1191" s="41"/>
      <c r="I1191" s="42"/>
      <c r="J1191" s="82">
        <f t="shared" si="87"/>
        <v>0</v>
      </c>
      <c r="K1191" s="43"/>
      <c r="L1191" s="83" t="str">
        <f t="shared" si="88"/>
        <v/>
      </c>
      <c r="M1191" s="53"/>
      <c r="Q1191" s="12"/>
      <c r="S1191"/>
    </row>
    <row r="1192" spans="1:19" x14ac:dyDescent="0.25">
      <c r="A1192" s="12" t="str">
        <f t="shared" si="86"/>
        <v/>
      </c>
      <c r="B1192" s="16"/>
      <c r="C1192" s="17"/>
      <c r="D1192" s="18"/>
      <c r="E1192" s="29"/>
      <c r="F1192" s="27"/>
      <c r="G1192" s="28"/>
      <c r="H1192" s="19"/>
      <c r="I1192" s="23"/>
      <c r="J1192" s="82">
        <f t="shared" si="87"/>
        <v>0</v>
      </c>
      <c r="K1192" s="30"/>
      <c r="L1192" s="83" t="str">
        <f t="shared" si="88"/>
        <v/>
      </c>
      <c r="M1192" s="23"/>
      <c r="Q1192" s="12"/>
      <c r="S1192"/>
    </row>
    <row r="1193" spans="1:19" x14ac:dyDescent="0.25">
      <c r="A1193" s="12" t="str">
        <f t="shared" si="86"/>
        <v/>
      </c>
      <c r="B1193" s="16"/>
      <c r="C1193" s="17"/>
      <c r="D1193" s="18"/>
      <c r="E1193" s="29"/>
      <c r="F1193" s="39"/>
      <c r="G1193" s="40"/>
      <c r="H1193" s="41"/>
      <c r="I1193" s="42"/>
      <c r="J1193" s="82">
        <f t="shared" si="87"/>
        <v>0</v>
      </c>
      <c r="K1193" s="43"/>
      <c r="L1193" s="83" t="str">
        <f t="shared" si="88"/>
        <v/>
      </c>
      <c r="M1193" s="53"/>
      <c r="Q1193" s="12"/>
      <c r="S1193"/>
    </row>
    <row r="1194" spans="1:19" x14ac:dyDescent="0.25">
      <c r="A1194" s="12" t="str">
        <f t="shared" si="86"/>
        <v/>
      </c>
      <c r="B1194" s="16"/>
      <c r="C1194" s="17"/>
      <c r="D1194" s="18"/>
      <c r="E1194" s="29"/>
      <c r="F1194" s="27"/>
      <c r="G1194" s="28"/>
      <c r="H1194" s="19"/>
      <c r="I1194" s="23"/>
      <c r="J1194" s="82">
        <f t="shared" si="87"/>
        <v>0</v>
      </c>
      <c r="K1194" s="30"/>
      <c r="L1194" s="83" t="str">
        <f t="shared" si="88"/>
        <v/>
      </c>
      <c r="M1194" s="23"/>
      <c r="Q1194" s="12"/>
      <c r="S1194"/>
    </row>
    <row r="1195" spans="1:19" x14ac:dyDescent="0.25">
      <c r="A1195" s="12" t="str">
        <f t="shared" si="86"/>
        <v/>
      </c>
      <c r="B1195" s="16"/>
      <c r="C1195" s="17"/>
      <c r="D1195" s="18"/>
      <c r="E1195" s="29"/>
      <c r="F1195" s="39"/>
      <c r="G1195" s="40"/>
      <c r="H1195" s="41"/>
      <c r="I1195" s="42"/>
      <c r="J1195" s="82">
        <f t="shared" si="87"/>
        <v>0</v>
      </c>
      <c r="K1195" s="43"/>
      <c r="L1195" s="83" t="str">
        <f t="shared" si="88"/>
        <v/>
      </c>
      <c r="M1195" s="53"/>
      <c r="Q1195" s="12"/>
      <c r="S1195"/>
    </row>
    <row r="1196" spans="1:19" x14ac:dyDescent="0.25">
      <c r="A1196" s="12" t="str">
        <f t="shared" si="86"/>
        <v/>
      </c>
      <c r="B1196" s="16"/>
      <c r="C1196" s="17"/>
      <c r="D1196" s="18"/>
      <c r="E1196" s="29"/>
      <c r="F1196" s="27"/>
      <c r="G1196" s="28"/>
      <c r="H1196" s="19"/>
      <c r="I1196" s="23"/>
      <c r="J1196" s="82">
        <f t="shared" si="87"/>
        <v>0</v>
      </c>
      <c r="K1196" s="30"/>
      <c r="L1196" s="83" t="str">
        <f t="shared" si="88"/>
        <v/>
      </c>
      <c r="M1196" s="23"/>
      <c r="Q1196" s="12"/>
      <c r="S1196"/>
    </row>
    <row r="1197" spans="1:19" x14ac:dyDescent="0.25">
      <c r="A1197" s="12" t="str">
        <f t="shared" si="86"/>
        <v/>
      </c>
      <c r="B1197" s="16"/>
      <c r="C1197" s="17"/>
      <c r="D1197" s="18"/>
      <c r="E1197" s="29"/>
      <c r="F1197" s="39"/>
      <c r="G1197" s="40"/>
      <c r="H1197" s="41"/>
      <c r="I1197" s="42"/>
      <c r="J1197" s="82">
        <f t="shared" si="87"/>
        <v>0</v>
      </c>
      <c r="K1197" s="43"/>
      <c r="L1197" s="83" t="str">
        <f t="shared" si="88"/>
        <v/>
      </c>
      <c r="M1197" s="53"/>
      <c r="Q1197" s="12"/>
      <c r="S1197"/>
    </row>
    <row r="1198" spans="1:19" x14ac:dyDescent="0.25">
      <c r="A1198" s="12" t="str">
        <f t="shared" si="86"/>
        <v/>
      </c>
      <c r="B1198" s="16"/>
      <c r="C1198" s="17"/>
      <c r="D1198" s="18"/>
      <c r="E1198" s="29"/>
      <c r="F1198" s="27"/>
      <c r="G1198" s="28"/>
      <c r="H1198" s="19"/>
      <c r="I1198" s="23"/>
      <c r="J1198" s="82">
        <f t="shared" si="87"/>
        <v>0</v>
      </c>
      <c r="K1198" s="30"/>
      <c r="L1198" s="83" t="str">
        <f t="shared" si="88"/>
        <v/>
      </c>
      <c r="M1198" s="23"/>
      <c r="Q1198" s="12"/>
      <c r="S1198"/>
    </row>
    <row r="1199" spans="1:19" x14ac:dyDescent="0.25">
      <c r="A1199" s="12" t="str">
        <f t="shared" si="86"/>
        <v/>
      </c>
      <c r="B1199" s="16"/>
      <c r="C1199" s="17"/>
      <c r="D1199" s="18"/>
      <c r="E1199" s="29"/>
      <c r="F1199" s="39"/>
      <c r="G1199" s="40"/>
      <c r="H1199" s="41"/>
      <c r="I1199" s="42"/>
      <c r="J1199" s="82">
        <f t="shared" si="87"/>
        <v>0</v>
      </c>
      <c r="K1199" s="43"/>
      <c r="L1199" s="83" t="str">
        <f t="shared" si="88"/>
        <v/>
      </c>
      <c r="M1199" s="53"/>
      <c r="Q1199" s="12"/>
      <c r="S1199"/>
    </row>
    <row r="1200" spans="1:19" x14ac:dyDescent="0.25">
      <c r="A1200" s="12" t="str">
        <f t="shared" si="86"/>
        <v/>
      </c>
      <c r="B1200" s="16"/>
      <c r="C1200" s="17"/>
      <c r="D1200" s="18"/>
      <c r="E1200" s="29"/>
      <c r="F1200" s="27"/>
      <c r="G1200" s="28"/>
      <c r="H1200" s="19"/>
      <c r="I1200" s="23"/>
      <c r="J1200" s="82">
        <f t="shared" si="87"/>
        <v>0</v>
      </c>
      <c r="K1200" s="30"/>
      <c r="L1200" s="83" t="str">
        <f t="shared" si="88"/>
        <v/>
      </c>
      <c r="M1200" s="23"/>
      <c r="Q1200" s="12"/>
      <c r="S1200"/>
    </row>
    <row r="1201" spans="1:19" x14ac:dyDescent="0.25">
      <c r="A1201" s="12" t="str">
        <f t="shared" si="86"/>
        <v/>
      </c>
      <c r="B1201" s="16"/>
      <c r="C1201" s="17"/>
      <c r="D1201" s="18"/>
      <c r="E1201" s="29"/>
      <c r="F1201" s="39"/>
      <c r="G1201" s="40"/>
      <c r="H1201" s="41"/>
      <c r="I1201" s="42"/>
      <c r="J1201" s="82">
        <f t="shared" si="87"/>
        <v>0</v>
      </c>
      <c r="K1201" s="43"/>
      <c r="L1201" s="83" t="str">
        <f t="shared" si="88"/>
        <v/>
      </c>
      <c r="M1201" s="53"/>
      <c r="Q1201" s="12"/>
      <c r="S1201"/>
    </row>
    <row r="1202" spans="1:19" x14ac:dyDescent="0.25">
      <c r="A1202" s="12" t="str">
        <f t="shared" si="86"/>
        <v/>
      </c>
      <c r="B1202" s="16"/>
      <c r="C1202" s="17"/>
      <c r="D1202" s="18"/>
      <c r="E1202" s="29"/>
      <c r="F1202" s="27"/>
      <c r="G1202" s="28"/>
      <c r="H1202" s="19"/>
      <c r="I1202" s="23"/>
      <c r="J1202" s="82">
        <f t="shared" si="87"/>
        <v>0</v>
      </c>
      <c r="K1202" s="30"/>
      <c r="L1202" s="83" t="str">
        <f t="shared" si="88"/>
        <v/>
      </c>
      <c r="M1202" s="23"/>
      <c r="Q1202" s="12"/>
      <c r="S1202"/>
    </row>
    <row r="1203" spans="1:19" x14ac:dyDescent="0.25">
      <c r="A1203" s="12" t="str">
        <f t="shared" si="86"/>
        <v/>
      </c>
      <c r="B1203" s="16"/>
      <c r="C1203" s="17"/>
      <c r="D1203" s="18"/>
      <c r="E1203" s="29"/>
      <c r="F1203" s="39"/>
      <c r="G1203" s="40"/>
      <c r="H1203" s="41"/>
      <c r="I1203" s="42"/>
      <c r="J1203" s="82">
        <f t="shared" si="87"/>
        <v>0</v>
      </c>
      <c r="K1203" s="43"/>
      <c r="L1203" s="83" t="str">
        <f t="shared" si="88"/>
        <v/>
      </c>
      <c r="M1203" s="53"/>
      <c r="Q1203" s="12"/>
      <c r="S1203"/>
    </row>
    <row r="1204" spans="1:19" x14ac:dyDescent="0.25">
      <c r="A1204" s="12" t="str">
        <f t="shared" ref="A1204:A1267" si="89">IFERROR(DATE(B1204,C1204,D1204),"")</f>
        <v/>
      </c>
      <c r="B1204" s="16"/>
      <c r="C1204" s="17"/>
      <c r="D1204" s="18"/>
      <c r="E1204" s="29"/>
      <c r="F1204" s="27"/>
      <c r="G1204" s="28"/>
      <c r="H1204" s="19"/>
      <c r="I1204" s="23"/>
      <c r="J1204" s="82">
        <f t="shared" ref="J1204:J1267" si="90">IF(E1204="entrada",H1204*I1204,H1204*I1204*-1)</f>
        <v>0</v>
      </c>
      <c r="K1204" s="30"/>
      <c r="L1204" s="83" t="str">
        <f t="shared" ref="L1204:L1267" si="91">IF(J1204=0,"",SUM(L1203,J1204))</f>
        <v/>
      </c>
      <c r="M1204" s="23"/>
      <c r="Q1204" s="12"/>
      <c r="S1204"/>
    </row>
    <row r="1205" spans="1:19" x14ac:dyDescent="0.25">
      <c r="A1205" s="12" t="str">
        <f t="shared" si="89"/>
        <v/>
      </c>
      <c r="B1205" s="16"/>
      <c r="C1205" s="17"/>
      <c r="D1205" s="18"/>
      <c r="E1205" s="29"/>
      <c r="F1205" s="39"/>
      <c r="G1205" s="40"/>
      <c r="H1205" s="41"/>
      <c r="I1205" s="42"/>
      <c r="J1205" s="82">
        <f t="shared" si="90"/>
        <v>0</v>
      </c>
      <c r="K1205" s="43"/>
      <c r="L1205" s="83" t="str">
        <f t="shared" si="91"/>
        <v/>
      </c>
      <c r="M1205" s="53"/>
      <c r="Q1205" s="12"/>
      <c r="S1205"/>
    </row>
    <row r="1206" spans="1:19" x14ac:dyDescent="0.25">
      <c r="A1206" s="12" t="str">
        <f t="shared" si="89"/>
        <v/>
      </c>
      <c r="B1206" s="16"/>
      <c r="C1206" s="17"/>
      <c r="D1206" s="18"/>
      <c r="E1206" s="29"/>
      <c r="F1206" s="27"/>
      <c r="G1206" s="28"/>
      <c r="H1206" s="19"/>
      <c r="I1206" s="23"/>
      <c r="J1206" s="82">
        <f t="shared" si="90"/>
        <v>0</v>
      </c>
      <c r="K1206" s="30"/>
      <c r="L1206" s="83" t="str">
        <f t="shared" si="91"/>
        <v/>
      </c>
      <c r="M1206" s="23"/>
      <c r="Q1206" s="12"/>
      <c r="S1206"/>
    </row>
    <row r="1207" spans="1:19" x14ac:dyDescent="0.25">
      <c r="A1207" s="12" t="str">
        <f t="shared" si="89"/>
        <v/>
      </c>
      <c r="B1207" s="16"/>
      <c r="C1207" s="17"/>
      <c r="D1207" s="18"/>
      <c r="E1207" s="29"/>
      <c r="F1207" s="39"/>
      <c r="G1207" s="40"/>
      <c r="H1207" s="41"/>
      <c r="I1207" s="42"/>
      <c r="J1207" s="82">
        <f t="shared" si="90"/>
        <v>0</v>
      </c>
      <c r="K1207" s="43"/>
      <c r="L1207" s="83" t="str">
        <f t="shared" si="91"/>
        <v/>
      </c>
      <c r="M1207" s="53"/>
      <c r="Q1207" s="12"/>
      <c r="S1207"/>
    </row>
    <row r="1208" spans="1:19" x14ac:dyDescent="0.25">
      <c r="A1208" s="12" t="str">
        <f t="shared" si="89"/>
        <v/>
      </c>
      <c r="B1208" s="16"/>
      <c r="C1208" s="17"/>
      <c r="D1208" s="18"/>
      <c r="E1208" s="29"/>
      <c r="F1208" s="27"/>
      <c r="G1208" s="28"/>
      <c r="H1208" s="19"/>
      <c r="I1208" s="23"/>
      <c r="J1208" s="82">
        <f t="shared" si="90"/>
        <v>0</v>
      </c>
      <c r="K1208" s="30"/>
      <c r="L1208" s="83" t="str">
        <f t="shared" si="91"/>
        <v/>
      </c>
      <c r="M1208" s="23"/>
      <c r="Q1208" s="12"/>
      <c r="S1208"/>
    </row>
    <row r="1209" spans="1:19" x14ac:dyDescent="0.25">
      <c r="A1209" s="12" t="str">
        <f t="shared" si="89"/>
        <v/>
      </c>
      <c r="B1209" s="16"/>
      <c r="C1209" s="17"/>
      <c r="D1209" s="18"/>
      <c r="E1209" s="29"/>
      <c r="F1209" s="39"/>
      <c r="G1209" s="40"/>
      <c r="H1209" s="41"/>
      <c r="I1209" s="42"/>
      <c r="J1209" s="82">
        <f t="shared" si="90"/>
        <v>0</v>
      </c>
      <c r="K1209" s="43"/>
      <c r="L1209" s="83" t="str">
        <f t="shared" si="91"/>
        <v/>
      </c>
      <c r="M1209" s="53"/>
      <c r="Q1209" s="12"/>
      <c r="S1209"/>
    </row>
    <row r="1210" spans="1:19" x14ac:dyDescent="0.25">
      <c r="A1210" s="12" t="str">
        <f t="shared" si="89"/>
        <v/>
      </c>
      <c r="B1210" s="16"/>
      <c r="C1210" s="17"/>
      <c r="D1210" s="18"/>
      <c r="E1210" s="29"/>
      <c r="F1210" s="27"/>
      <c r="G1210" s="28"/>
      <c r="H1210" s="19"/>
      <c r="I1210" s="23"/>
      <c r="J1210" s="82">
        <f t="shared" si="90"/>
        <v>0</v>
      </c>
      <c r="K1210" s="30"/>
      <c r="L1210" s="83" t="str">
        <f t="shared" si="91"/>
        <v/>
      </c>
      <c r="M1210" s="23"/>
      <c r="Q1210" s="12"/>
      <c r="S1210"/>
    </row>
    <row r="1211" spans="1:19" x14ac:dyDescent="0.25">
      <c r="A1211" s="12" t="str">
        <f t="shared" si="89"/>
        <v/>
      </c>
      <c r="B1211" s="16"/>
      <c r="C1211" s="17"/>
      <c r="D1211" s="18"/>
      <c r="E1211" s="29"/>
      <c r="F1211" s="39"/>
      <c r="G1211" s="40"/>
      <c r="H1211" s="41"/>
      <c r="I1211" s="42"/>
      <c r="J1211" s="82">
        <f t="shared" si="90"/>
        <v>0</v>
      </c>
      <c r="K1211" s="43"/>
      <c r="L1211" s="83" t="str">
        <f t="shared" si="91"/>
        <v/>
      </c>
      <c r="M1211" s="53"/>
      <c r="Q1211" s="12"/>
      <c r="S1211"/>
    </row>
    <row r="1212" spans="1:19" x14ac:dyDescent="0.25">
      <c r="A1212" s="12" t="str">
        <f t="shared" si="89"/>
        <v/>
      </c>
      <c r="B1212" s="16"/>
      <c r="C1212" s="17"/>
      <c r="D1212" s="18"/>
      <c r="E1212" s="29"/>
      <c r="F1212" s="27"/>
      <c r="G1212" s="28"/>
      <c r="H1212" s="19"/>
      <c r="I1212" s="23"/>
      <c r="J1212" s="82">
        <f t="shared" si="90"/>
        <v>0</v>
      </c>
      <c r="K1212" s="30"/>
      <c r="L1212" s="83" t="str">
        <f t="shared" si="91"/>
        <v/>
      </c>
      <c r="M1212" s="23"/>
      <c r="Q1212" s="12"/>
      <c r="S1212"/>
    </row>
    <row r="1213" spans="1:19" x14ac:dyDescent="0.25">
      <c r="A1213" s="12" t="str">
        <f t="shared" si="89"/>
        <v/>
      </c>
      <c r="B1213" s="16"/>
      <c r="C1213" s="17"/>
      <c r="D1213" s="18"/>
      <c r="E1213" s="29"/>
      <c r="F1213" s="39"/>
      <c r="G1213" s="40"/>
      <c r="H1213" s="41"/>
      <c r="I1213" s="42"/>
      <c r="J1213" s="82">
        <f t="shared" si="90"/>
        <v>0</v>
      </c>
      <c r="K1213" s="43"/>
      <c r="L1213" s="83" t="str">
        <f t="shared" si="91"/>
        <v/>
      </c>
      <c r="M1213" s="53"/>
      <c r="Q1213" s="12"/>
      <c r="S1213"/>
    </row>
    <row r="1214" spans="1:19" x14ac:dyDescent="0.25">
      <c r="A1214" s="12" t="str">
        <f t="shared" si="89"/>
        <v/>
      </c>
      <c r="B1214" s="16"/>
      <c r="C1214" s="17"/>
      <c r="D1214" s="18"/>
      <c r="E1214" s="29"/>
      <c r="F1214" s="27"/>
      <c r="G1214" s="28"/>
      <c r="H1214" s="19"/>
      <c r="I1214" s="23"/>
      <c r="J1214" s="82">
        <f t="shared" si="90"/>
        <v>0</v>
      </c>
      <c r="K1214" s="30"/>
      <c r="L1214" s="83" t="str">
        <f t="shared" si="91"/>
        <v/>
      </c>
      <c r="M1214" s="23"/>
      <c r="Q1214" s="12"/>
      <c r="S1214"/>
    </row>
    <row r="1215" spans="1:19" x14ac:dyDescent="0.25">
      <c r="A1215" s="12" t="str">
        <f t="shared" si="89"/>
        <v/>
      </c>
      <c r="B1215" s="16"/>
      <c r="C1215" s="17"/>
      <c r="D1215" s="18"/>
      <c r="E1215" s="29"/>
      <c r="F1215" s="39"/>
      <c r="G1215" s="40"/>
      <c r="H1215" s="41"/>
      <c r="I1215" s="42"/>
      <c r="J1215" s="82">
        <f t="shared" si="90"/>
        <v>0</v>
      </c>
      <c r="K1215" s="43"/>
      <c r="L1215" s="83" t="str">
        <f t="shared" si="91"/>
        <v/>
      </c>
      <c r="M1215" s="53"/>
      <c r="Q1215" s="12"/>
      <c r="S1215"/>
    </row>
    <row r="1216" spans="1:19" x14ac:dyDescent="0.25">
      <c r="A1216" s="12" t="str">
        <f t="shared" si="89"/>
        <v/>
      </c>
      <c r="B1216" s="16"/>
      <c r="C1216" s="17"/>
      <c r="D1216" s="18"/>
      <c r="E1216" s="29"/>
      <c r="F1216" s="27"/>
      <c r="G1216" s="28"/>
      <c r="H1216" s="19"/>
      <c r="I1216" s="23"/>
      <c r="J1216" s="82">
        <f t="shared" si="90"/>
        <v>0</v>
      </c>
      <c r="K1216" s="30"/>
      <c r="L1216" s="83" t="str">
        <f t="shared" si="91"/>
        <v/>
      </c>
      <c r="M1216" s="23"/>
      <c r="Q1216" s="12"/>
      <c r="S1216"/>
    </row>
    <row r="1217" spans="1:19" x14ac:dyDescent="0.25">
      <c r="A1217" s="12" t="str">
        <f t="shared" si="89"/>
        <v/>
      </c>
      <c r="B1217" s="16"/>
      <c r="C1217" s="17"/>
      <c r="D1217" s="18"/>
      <c r="E1217" s="29"/>
      <c r="F1217" s="39"/>
      <c r="G1217" s="40"/>
      <c r="H1217" s="41"/>
      <c r="I1217" s="42"/>
      <c r="J1217" s="82">
        <f t="shared" si="90"/>
        <v>0</v>
      </c>
      <c r="K1217" s="43"/>
      <c r="L1217" s="83" t="str">
        <f t="shared" si="91"/>
        <v/>
      </c>
      <c r="M1217" s="53"/>
      <c r="Q1217" s="12"/>
      <c r="S1217"/>
    </row>
    <row r="1218" spans="1:19" x14ac:dyDescent="0.25">
      <c r="A1218" s="12" t="str">
        <f t="shared" si="89"/>
        <v/>
      </c>
      <c r="B1218" s="16"/>
      <c r="C1218" s="17"/>
      <c r="D1218" s="18"/>
      <c r="E1218" s="29"/>
      <c r="F1218" s="27"/>
      <c r="G1218" s="28"/>
      <c r="H1218" s="19"/>
      <c r="I1218" s="23"/>
      <c r="J1218" s="82">
        <f t="shared" si="90"/>
        <v>0</v>
      </c>
      <c r="K1218" s="30"/>
      <c r="L1218" s="83" t="str">
        <f t="shared" si="91"/>
        <v/>
      </c>
      <c r="M1218" s="23"/>
      <c r="Q1218" s="12"/>
      <c r="S1218"/>
    </row>
    <row r="1219" spans="1:19" x14ac:dyDescent="0.25">
      <c r="A1219" s="12" t="str">
        <f t="shared" si="89"/>
        <v/>
      </c>
      <c r="B1219" s="16"/>
      <c r="C1219" s="17"/>
      <c r="D1219" s="18"/>
      <c r="E1219" s="29"/>
      <c r="F1219" s="39"/>
      <c r="G1219" s="40"/>
      <c r="H1219" s="41"/>
      <c r="I1219" s="42"/>
      <c r="J1219" s="82">
        <f t="shared" si="90"/>
        <v>0</v>
      </c>
      <c r="K1219" s="43"/>
      <c r="L1219" s="83" t="str">
        <f t="shared" si="91"/>
        <v/>
      </c>
      <c r="M1219" s="53"/>
      <c r="Q1219" s="12"/>
      <c r="S1219"/>
    </row>
    <row r="1220" spans="1:19" x14ac:dyDescent="0.25">
      <c r="A1220" s="12" t="str">
        <f t="shared" si="89"/>
        <v/>
      </c>
      <c r="B1220" s="16"/>
      <c r="C1220" s="17"/>
      <c r="D1220" s="18"/>
      <c r="E1220" s="29"/>
      <c r="F1220" s="27"/>
      <c r="G1220" s="28"/>
      <c r="H1220" s="19"/>
      <c r="I1220" s="23"/>
      <c r="J1220" s="82">
        <f t="shared" si="90"/>
        <v>0</v>
      </c>
      <c r="K1220" s="30"/>
      <c r="L1220" s="83" t="str">
        <f t="shared" si="91"/>
        <v/>
      </c>
      <c r="M1220" s="23"/>
      <c r="Q1220" s="12"/>
      <c r="S1220"/>
    </row>
    <row r="1221" spans="1:19" x14ac:dyDescent="0.25">
      <c r="A1221" s="12" t="str">
        <f t="shared" si="89"/>
        <v/>
      </c>
      <c r="B1221" s="16"/>
      <c r="C1221" s="17"/>
      <c r="D1221" s="18"/>
      <c r="E1221" s="29"/>
      <c r="F1221" s="39"/>
      <c r="G1221" s="40"/>
      <c r="H1221" s="41"/>
      <c r="I1221" s="42"/>
      <c r="J1221" s="82">
        <f t="shared" si="90"/>
        <v>0</v>
      </c>
      <c r="K1221" s="43"/>
      <c r="L1221" s="83" t="str">
        <f t="shared" si="91"/>
        <v/>
      </c>
      <c r="M1221" s="53"/>
      <c r="Q1221" s="12"/>
      <c r="S1221"/>
    </row>
    <row r="1222" spans="1:19" x14ac:dyDescent="0.25">
      <c r="A1222" s="12" t="str">
        <f t="shared" si="89"/>
        <v/>
      </c>
      <c r="B1222" s="16"/>
      <c r="C1222" s="17"/>
      <c r="D1222" s="18"/>
      <c r="E1222" s="29"/>
      <c r="F1222" s="27"/>
      <c r="G1222" s="28"/>
      <c r="H1222" s="19"/>
      <c r="I1222" s="23"/>
      <c r="J1222" s="82">
        <f t="shared" si="90"/>
        <v>0</v>
      </c>
      <c r="K1222" s="30"/>
      <c r="L1222" s="83" t="str">
        <f t="shared" si="91"/>
        <v/>
      </c>
      <c r="M1222" s="23"/>
      <c r="Q1222" s="12"/>
      <c r="S1222"/>
    </row>
    <row r="1223" spans="1:19" x14ac:dyDescent="0.25">
      <c r="A1223" s="12" t="str">
        <f t="shared" si="89"/>
        <v/>
      </c>
      <c r="B1223" s="16"/>
      <c r="C1223" s="17"/>
      <c r="D1223" s="18"/>
      <c r="E1223" s="29"/>
      <c r="F1223" s="39"/>
      <c r="G1223" s="40"/>
      <c r="H1223" s="41"/>
      <c r="I1223" s="42"/>
      <c r="J1223" s="82">
        <f t="shared" si="90"/>
        <v>0</v>
      </c>
      <c r="K1223" s="43"/>
      <c r="L1223" s="83" t="str">
        <f t="shared" si="91"/>
        <v/>
      </c>
      <c r="M1223" s="53"/>
      <c r="Q1223" s="12"/>
      <c r="S1223"/>
    </row>
    <row r="1224" spans="1:19" x14ac:dyDescent="0.25">
      <c r="A1224" s="12" t="str">
        <f t="shared" si="89"/>
        <v/>
      </c>
      <c r="B1224" s="16"/>
      <c r="C1224" s="17"/>
      <c r="D1224" s="18"/>
      <c r="E1224" s="29"/>
      <c r="F1224" s="27"/>
      <c r="G1224" s="28"/>
      <c r="H1224" s="19"/>
      <c r="I1224" s="23"/>
      <c r="J1224" s="82">
        <f t="shared" si="90"/>
        <v>0</v>
      </c>
      <c r="K1224" s="30"/>
      <c r="L1224" s="83" t="str">
        <f t="shared" si="91"/>
        <v/>
      </c>
      <c r="M1224" s="23"/>
      <c r="Q1224" s="12"/>
      <c r="S1224"/>
    </row>
    <row r="1225" spans="1:19" x14ac:dyDescent="0.25">
      <c r="A1225" s="12" t="str">
        <f t="shared" si="89"/>
        <v/>
      </c>
      <c r="B1225" s="16"/>
      <c r="C1225" s="17"/>
      <c r="D1225" s="18"/>
      <c r="E1225" s="29"/>
      <c r="F1225" s="39"/>
      <c r="G1225" s="40"/>
      <c r="H1225" s="41"/>
      <c r="I1225" s="42"/>
      <c r="J1225" s="82">
        <f t="shared" si="90"/>
        <v>0</v>
      </c>
      <c r="K1225" s="43"/>
      <c r="L1225" s="83" t="str">
        <f t="shared" si="91"/>
        <v/>
      </c>
      <c r="M1225" s="53"/>
      <c r="Q1225" s="12"/>
      <c r="S1225"/>
    </row>
    <row r="1226" spans="1:19" x14ac:dyDescent="0.25">
      <c r="A1226" s="12" t="str">
        <f t="shared" si="89"/>
        <v/>
      </c>
      <c r="B1226" s="16"/>
      <c r="C1226" s="17"/>
      <c r="D1226" s="18"/>
      <c r="E1226" s="29"/>
      <c r="F1226" s="27"/>
      <c r="G1226" s="28"/>
      <c r="H1226" s="19"/>
      <c r="I1226" s="23"/>
      <c r="J1226" s="82">
        <f t="shared" si="90"/>
        <v>0</v>
      </c>
      <c r="K1226" s="30"/>
      <c r="L1226" s="83" t="str">
        <f t="shared" si="91"/>
        <v/>
      </c>
      <c r="M1226" s="23"/>
      <c r="Q1226" s="12"/>
      <c r="S1226"/>
    </row>
    <row r="1227" spans="1:19" x14ac:dyDescent="0.25">
      <c r="A1227" s="12" t="str">
        <f t="shared" si="89"/>
        <v/>
      </c>
      <c r="B1227" s="16"/>
      <c r="C1227" s="17"/>
      <c r="D1227" s="18"/>
      <c r="E1227" s="29"/>
      <c r="F1227" s="39"/>
      <c r="G1227" s="40"/>
      <c r="H1227" s="41"/>
      <c r="I1227" s="42"/>
      <c r="J1227" s="82">
        <f t="shared" si="90"/>
        <v>0</v>
      </c>
      <c r="K1227" s="43"/>
      <c r="L1227" s="83" t="str">
        <f t="shared" si="91"/>
        <v/>
      </c>
      <c r="M1227" s="53"/>
      <c r="Q1227" s="12"/>
      <c r="S1227"/>
    </row>
    <row r="1228" spans="1:19" x14ac:dyDescent="0.25">
      <c r="A1228" s="12" t="str">
        <f t="shared" si="89"/>
        <v/>
      </c>
      <c r="B1228" s="16"/>
      <c r="C1228" s="17"/>
      <c r="D1228" s="18"/>
      <c r="E1228" s="29"/>
      <c r="F1228" s="27"/>
      <c r="G1228" s="28"/>
      <c r="H1228" s="19"/>
      <c r="I1228" s="23"/>
      <c r="J1228" s="82">
        <f t="shared" si="90"/>
        <v>0</v>
      </c>
      <c r="K1228" s="30"/>
      <c r="L1228" s="83" t="str">
        <f t="shared" si="91"/>
        <v/>
      </c>
      <c r="M1228" s="23"/>
      <c r="Q1228" s="12"/>
      <c r="S1228"/>
    </row>
    <row r="1229" spans="1:19" x14ac:dyDescent="0.25">
      <c r="A1229" s="12" t="str">
        <f t="shared" si="89"/>
        <v/>
      </c>
      <c r="B1229" s="16"/>
      <c r="C1229" s="17"/>
      <c r="D1229" s="18"/>
      <c r="E1229" s="29"/>
      <c r="F1229" s="39"/>
      <c r="G1229" s="40"/>
      <c r="H1229" s="41"/>
      <c r="I1229" s="42"/>
      <c r="J1229" s="82">
        <f t="shared" si="90"/>
        <v>0</v>
      </c>
      <c r="K1229" s="43"/>
      <c r="L1229" s="83" t="str">
        <f t="shared" si="91"/>
        <v/>
      </c>
      <c r="M1229" s="53"/>
      <c r="Q1229" s="12"/>
      <c r="S1229"/>
    </row>
    <row r="1230" spans="1:19" x14ac:dyDescent="0.25">
      <c r="A1230" s="12" t="str">
        <f t="shared" si="89"/>
        <v/>
      </c>
      <c r="B1230" s="16"/>
      <c r="C1230" s="17"/>
      <c r="D1230" s="18"/>
      <c r="E1230" s="29"/>
      <c r="F1230" s="27"/>
      <c r="G1230" s="28"/>
      <c r="H1230" s="19"/>
      <c r="I1230" s="23"/>
      <c r="J1230" s="82">
        <f t="shared" si="90"/>
        <v>0</v>
      </c>
      <c r="K1230" s="30"/>
      <c r="L1230" s="83" t="str">
        <f t="shared" si="91"/>
        <v/>
      </c>
      <c r="M1230" s="23"/>
      <c r="Q1230" s="12"/>
      <c r="S1230"/>
    </row>
    <row r="1231" spans="1:19" x14ac:dyDescent="0.25">
      <c r="A1231" s="12" t="str">
        <f t="shared" si="89"/>
        <v/>
      </c>
      <c r="B1231" s="16"/>
      <c r="C1231" s="17"/>
      <c r="D1231" s="18"/>
      <c r="E1231" s="29"/>
      <c r="F1231" s="39"/>
      <c r="G1231" s="40"/>
      <c r="H1231" s="41"/>
      <c r="I1231" s="42"/>
      <c r="J1231" s="82">
        <f t="shared" si="90"/>
        <v>0</v>
      </c>
      <c r="K1231" s="43"/>
      <c r="L1231" s="83" t="str">
        <f t="shared" si="91"/>
        <v/>
      </c>
      <c r="M1231" s="53"/>
      <c r="Q1231" s="12"/>
      <c r="S1231"/>
    </row>
    <row r="1232" spans="1:19" x14ac:dyDescent="0.25">
      <c r="A1232" s="12" t="str">
        <f t="shared" si="89"/>
        <v/>
      </c>
      <c r="B1232" s="16"/>
      <c r="C1232" s="17"/>
      <c r="D1232" s="18"/>
      <c r="E1232" s="29"/>
      <c r="F1232" s="27"/>
      <c r="G1232" s="28"/>
      <c r="H1232" s="19"/>
      <c r="I1232" s="23"/>
      <c r="J1232" s="82">
        <f t="shared" si="90"/>
        <v>0</v>
      </c>
      <c r="K1232" s="30"/>
      <c r="L1232" s="83" t="str">
        <f t="shared" si="91"/>
        <v/>
      </c>
      <c r="M1232" s="23"/>
      <c r="Q1232" s="12"/>
      <c r="S1232"/>
    </row>
    <row r="1233" spans="1:19" x14ac:dyDescent="0.25">
      <c r="A1233" s="12" t="str">
        <f t="shared" si="89"/>
        <v/>
      </c>
      <c r="B1233" s="16"/>
      <c r="C1233" s="17"/>
      <c r="D1233" s="18"/>
      <c r="E1233" s="29"/>
      <c r="F1233" s="39"/>
      <c r="G1233" s="40"/>
      <c r="H1233" s="41"/>
      <c r="I1233" s="42"/>
      <c r="J1233" s="82">
        <f t="shared" si="90"/>
        <v>0</v>
      </c>
      <c r="K1233" s="43"/>
      <c r="L1233" s="83" t="str">
        <f t="shared" si="91"/>
        <v/>
      </c>
      <c r="M1233" s="53"/>
      <c r="Q1233" s="12"/>
      <c r="S1233"/>
    </row>
    <row r="1234" spans="1:19" x14ac:dyDescent="0.25">
      <c r="A1234" s="12" t="str">
        <f t="shared" si="89"/>
        <v/>
      </c>
      <c r="B1234" s="16"/>
      <c r="C1234" s="17"/>
      <c r="D1234" s="18"/>
      <c r="E1234" s="29"/>
      <c r="F1234" s="27"/>
      <c r="G1234" s="28"/>
      <c r="H1234" s="19"/>
      <c r="I1234" s="23"/>
      <c r="J1234" s="82">
        <f t="shared" si="90"/>
        <v>0</v>
      </c>
      <c r="K1234" s="30"/>
      <c r="L1234" s="83" t="str">
        <f t="shared" si="91"/>
        <v/>
      </c>
      <c r="M1234" s="23"/>
      <c r="Q1234" s="12"/>
      <c r="S1234"/>
    </row>
    <row r="1235" spans="1:19" x14ac:dyDescent="0.25">
      <c r="A1235" s="12" t="str">
        <f t="shared" si="89"/>
        <v/>
      </c>
      <c r="B1235" s="16"/>
      <c r="C1235" s="17"/>
      <c r="D1235" s="18"/>
      <c r="E1235" s="29"/>
      <c r="F1235" s="39"/>
      <c r="G1235" s="40"/>
      <c r="H1235" s="41"/>
      <c r="I1235" s="42"/>
      <c r="J1235" s="82">
        <f t="shared" si="90"/>
        <v>0</v>
      </c>
      <c r="K1235" s="43"/>
      <c r="L1235" s="83" t="str">
        <f t="shared" si="91"/>
        <v/>
      </c>
      <c r="M1235" s="53"/>
      <c r="Q1235" s="12"/>
      <c r="S1235"/>
    </row>
    <row r="1236" spans="1:19" x14ac:dyDescent="0.25">
      <c r="A1236" s="12" t="str">
        <f t="shared" si="89"/>
        <v/>
      </c>
      <c r="B1236" s="16"/>
      <c r="C1236" s="17"/>
      <c r="D1236" s="18"/>
      <c r="E1236" s="29"/>
      <c r="F1236" s="27"/>
      <c r="G1236" s="28"/>
      <c r="H1236" s="19"/>
      <c r="I1236" s="23"/>
      <c r="J1236" s="82">
        <f t="shared" si="90"/>
        <v>0</v>
      </c>
      <c r="K1236" s="30"/>
      <c r="L1236" s="83" t="str">
        <f t="shared" si="91"/>
        <v/>
      </c>
      <c r="M1236" s="23"/>
      <c r="Q1236" s="12"/>
      <c r="S1236"/>
    </row>
    <row r="1237" spans="1:19" x14ac:dyDescent="0.25">
      <c r="A1237" s="12" t="str">
        <f t="shared" si="89"/>
        <v/>
      </c>
      <c r="B1237" s="16"/>
      <c r="C1237" s="17"/>
      <c r="D1237" s="18"/>
      <c r="E1237" s="29"/>
      <c r="F1237" s="39"/>
      <c r="G1237" s="40"/>
      <c r="H1237" s="41"/>
      <c r="I1237" s="42"/>
      <c r="J1237" s="82">
        <f t="shared" si="90"/>
        <v>0</v>
      </c>
      <c r="K1237" s="43"/>
      <c r="L1237" s="83" t="str">
        <f t="shared" si="91"/>
        <v/>
      </c>
      <c r="M1237" s="53"/>
      <c r="Q1237" s="12"/>
      <c r="S1237"/>
    </row>
    <row r="1238" spans="1:19" x14ac:dyDescent="0.25">
      <c r="A1238" s="12" t="str">
        <f t="shared" si="89"/>
        <v/>
      </c>
      <c r="B1238" s="16"/>
      <c r="C1238" s="17"/>
      <c r="D1238" s="18"/>
      <c r="E1238" s="29"/>
      <c r="F1238" s="27"/>
      <c r="G1238" s="28"/>
      <c r="H1238" s="19"/>
      <c r="I1238" s="23"/>
      <c r="J1238" s="82">
        <f t="shared" si="90"/>
        <v>0</v>
      </c>
      <c r="K1238" s="30"/>
      <c r="L1238" s="83" t="str">
        <f t="shared" si="91"/>
        <v/>
      </c>
      <c r="M1238" s="23"/>
      <c r="Q1238" s="12"/>
      <c r="S1238"/>
    </row>
    <row r="1239" spans="1:19" x14ac:dyDescent="0.25">
      <c r="A1239" s="12" t="str">
        <f t="shared" si="89"/>
        <v/>
      </c>
      <c r="B1239" s="16"/>
      <c r="C1239" s="17"/>
      <c r="D1239" s="18"/>
      <c r="E1239" s="29"/>
      <c r="F1239" s="39"/>
      <c r="G1239" s="40"/>
      <c r="H1239" s="41"/>
      <c r="I1239" s="42"/>
      <c r="J1239" s="82">
        <f t="shared" si="90"/>
        <v>0</v>
      </c>
      <c r="K1239" s="43"/>
      <c r="L1239" s="83" t="str">
        <f t="shared" si="91"/>
        <v/>
      </c>
      <c r="M1239" s="53"/>
      <c r="Q1239" s="12"/>
      <c r="S1239"/>
    </row>
    <row r="1240" spans="1:19" x14ac:dyDescent="0.25">
      <c r="A1240" s="12" t="str">
        <f t="shared" si="89"/>
        <v/>
      </c>
      <c r="B1240" s="16"/>
      <c r="C1240" s="17"/>
      <c r="D1240" s="18"/>
      <c r="E1240" s="29"/>
      <c r="F1240" s="27"/>
      <c r="G1240" s="28"/>
      <c r="H1240" s="19"/>
      <c r="I1240" s="23"/>
      <c r="J1240" s="82">
        <f t="shared" si="90"/>
        <v>0</v>
      </c>
      <c r="K1240" s="30"/>
      <c r="L1240" s="83" t="str">
        <f t="shared" si="91"/>
        <v/>
      </c>
      <c r="M1240" s="23"/>
      <c r="Q1240" s="12"/>
      <c r="S1240"/>
    </row>
    <row r="1241" spans="1:19" x14ac:dyDescent="0.25">
      <c r="A1241" s="12" t="str">
        <f t="shared" si="89"/>
        <v/>
      </c>
      <c r="B1241" s="16"/>
      <c r="C1241" s="17"/>
      <c r="D1241" s="18"/>
      <c r="E1241" s="29"/>
      <c r="F1241" s="39"/>
      <c r="G1241" s="40"/>
      <c r="H1241" s="41"/>
      <c r="I1241" s="42"/>
      <c r="J1241" s="82">
        <f t="shared" si="90"/>
        <v>0</v>
      </c>
      <c r="K1241" s="43"/>
      <c r="L1241" s="83" t="str">
        <f t="shared" si="91"/>
        <v/>
      </c>
      <c r="M1241" s="53"/>
      <c r="Q1241" s="12"/>
      <c r="S1241"/>
    </row>
    <row r="1242" spans="1:19" x14ac:dyDescent="0.25">
      <c r="A1242" s="12" t="str">
        <f t="shared" si="89"/>
        <v/>
      </c>
      <c r="B1242" s="16"/>
      <c r="C1242" s="17"/>
      <c r="D1242" s="18"/>
      <c r="E1242" s="29"/>
      <c r="F1242" s="27"/>
      <c r="G1242" s="28"/>
      <c r="H1242" s="19"/>
      <c r="I1242" s="23"/>
      <c r="J1242" s="82">
        <f t="shared" si="90"/>
        <v>0</v>
      </c>
      <c r="K1242" s="30"/>
      <c r="L1242" s="83" t="str">
        <f t="shared" si="91"/>
        <v/>
      </c>
      <c r="M1242" s="23"/>
      <c r="Q1242" s="12"/>
      <c r="S1242"/>
    </row>
    <row r="1243" spans="1:19" x14ac:dyDescent="0.25">
      <c r="A1243" s="12" t="str">
        <f t="shared" si="89"/>
        <v/>
      </c>
      <c r="B1243" s="16"/>
      <c r="C1243" s="17"/>
      <c r="D1243" s="18"/>
      <c r="E1243" s="29"/>
      <c r="F1243" s="39"/>
      <c r="G1243" s="40"/>
      <c r="H1243" s="41"/>
      <c r="I1243" s="42"/>
      <c r="J1243" s="82">
        <f t="shared" si="90"/>
        <v>0</v>
      </c>
      <c r="K1243" s="43"/>
      <c r="L1243" s="83" t="str">
        <f t="shared" si="91"/>
        <v/>
      </c>
      <c r="M1243" s="53"/>
      <c r="Q1243" s="12"/>
      <c r="S1243"/>
    </row>
    <row r="1244" spans="1:19" x14ac:dyDescent="0.25">
      <c r="A1244" s="12" t="str">
        <f t="shared" si="89"/>
        <v/>
      </c>
      <c r="B1244" s="16"/>
      <c r="C1244" s="17"/>
      <c r="D1244" s="18"/>
      <c r="E1244" s="29"/>
      <c r="F1244" s="27"/>
      <c r="G1244" s="28"/>
      <c r="H1244" s="19"/>
      <c r="I1244" s="23"/>
      <c r="J1244" s="82">
        <f t="shared" si="90"/>
        <v>0</v>
      </c>
      <c r="K1244" s="30"/>
      <c r="L1244" s="83" t="str">
        <f t="shared" si="91"/>
        <v/>
      </c>
      <c r="M1244" s="23"/>
      <c r="Q1244" s="12"/>
      <c r="S1244"/>
    </row>
    <row r="1245" spans="1:19" x14ac:dyDescent="0.25">
      <c r="A1245" s="12" t="str">
        <f t="shared" si="89"/>
        <v/>
      </c>
      <c r="B1245" s="16"/>
      <c r="C1245" s="17"/>
      <c r="D1245" s="18"/>
      <c r="E1245" s="29"/>
      <c r="F1245" s="39"/>
      <c r="G1245" s="40"/>
      <c r="H1245" s="41"/>
      <c r="I1245" s="42"/>
      <c r="J1245" s="82">
        <f t="shared" si="90"/>
        <v>0</v>
      </c>
      <c r="K1245" s="43"/>
      <c r="L1245" s="83" t="str">
        <f t="shared" si="91"/>
        <v/>
      </c>
      <c r="M1245" s="53"/>
      <c r="Q1245" s="12"/>
      <c r="S1245"/>
    </row>
    <row r="1246" spans="1:19" x14ac:dyDescent="0.25">
      <c r="A1246" s="12" t="str">
        <f t="shared" si="89"/>
        <v/>
      </c>
      <c r="B1246" s="16"/>
      <c r="C1246" s="17"/>
      <c r="D1246" s="18"/>
      <c r="E1246" s="29"/>
      <c r="F1246" s="27"/>
      <c r="G1246" s="28"/>
      <c r="H1246" s="19"/>
      <c r="I1246" s="23"/>
      <c r="J1246" s="82">
        <f t="shared" si="90"/>
        <v>0</v>
      </c>
      <c r="K1246" s="30"/>
      <c r="L1246" s="83" t="str">
        <f t="shared" si="91"/>
        <v/>
      </c>
      <c r="M1246" s="23"/>
      <c r="Q1246" s="12"/>
      <c r="S1246"/>
    </row>
    <row r="1247" spans="1:19" x14ac:dyDescent="0.25">
      <c r="A1247" s="12" t="str">
        <f t="shared" si="89"/>
        <v/>
      </c>
      <c r="B1247" s="16"/>
      <c r="C1247" s="17"/>
      <c r="D1247" s="18"/>
      <c r="E1247" s="29"/>
      <c r="F1247" s="39"/>
      <c r="G1247" s="40"/>
      <c r="H1247" s="41"/>
      <c r="I1247" s="42"/>
      <c r="J1247" s="82">
        <f t="shared" si="90"/>
        <v>0</v>
      </c>
      <c r="K1247" s="43"/>
      <c r="L1247" s="83" t="str">
        <f t="shared" si="91"/>
        <v/>
      </c>
      <c r="M1247" s="53"/>
      <c r="Q1247" s="12"/>
      <c r="S1247"/>
    </row>
    <row r="1248" spans="1:19" x14ac:dyDescent="0.25">
      <c r="A1248" s="12" t="str">
        <f t="shared" si="89"/>
        <v/>
      </c>
      <c r="B1248" s="16"/>
      <c r="C1248" s="17"/>
      <c r="D1248" s="18"/>
      <c r="E1248" s="29"/>
      <c r="F1248" s="27"/>
      <c r="G1248" s="28"/>
      <c r="H1248" s="19"/>
      <c r="I1248" s="23"/>
      <c r="J1248" s="82">
        <f t="shared" si="90"/>
        <v>0</v>
      </c>
      <c r="K1248" s="30"/>
      <c r="L1248" s="83" t="str">
        <f t="shared" si="91"/>
        <v/>
      </c>
      <c r="M1248" s="23"/>
      <c r="Q1248" s="12"/>
      <c r="S1248"/>
    </row>
    <row r="1249" spans="1:19" x14ac:dyDescent="0.25">
      <c r="A1249" s="12" t="str">
        <f t="shared" si="89"/>
        <v/>
      </c>
      <c r="B1249" s="16"/>
      <c r="C1249" s="17"/>
      <c r="D1249" s="18"/>
      <c r="E1249" s="29"/>
      <c r="F1249" s="39"/>
      <c r="G1249" s="40"/>
      <c r="H1249" s="41"/>
      <c r="I1249" s="42"/>
      <c r="J1249" s="82">
        <f t="shared" si="90"/>
        <v>0</v>
      </c>
      <c r="K1249" s="43"/>
      <c r="L1249" s="83" t="str">
        <f t="shared" si="91"/>
        <v/>
      </c>
      <c r="M1249" s="53"/>
      <c r="Q1249" s="12"/>
      <c r="S1249"/>
    </row>
    <row r="1250" spans="1:19" x14ac:dyDescent="0.25">
      <c r="A1250" s="12" t="str">
        <f t="shared" si="89"/>
        <v/>
      </c>
      <c r="B1250" s="16"/>
      <c r="C1250" s="17"/>
      <c r="D1250" s="18"/>
      <c r="E1250" s="29"/>
      <c r="F1250" s="27"/>
      <c r="G1250" s="28"/>
      <c r="H1250" s="19"/>
      <c r="I1250" s="23"/>
      <c r="J1250" s="82">
        <f t="shared" si="90"/>
        <v>0</v>
      </c>
      <c r="K1250" s="30"/>
      <c r="L1250" s="83" t="str">
        <f t="shared" si="91"/>
        <v/>
      </c>
      <c r="M1250" s="23"/>
      <c r="Q1250" s="12"/>
      <c r="S1250"/>
    </row>
    <row r="1251" spans="1:19" x14ac:dyDescent="0.25">
      <c r="A1251" s="12" t="str">
        <f t="shared" si="89"/>
        <v/>
      </c>
      <c r="B1251" s="16"/>
      <c r="C1251" s="17"/>
      <c r="D1251" s="18"/>
      <c r="E1251" s="29"/>
      <c r="F1251" s="39"/>
      <c r="G1251" s="40"/>
      <c r="H1251" s="41"/>
      <c r="I1251" s="42"/>
      <c r="J1251" s="82">
        <f t="shared" si="90"/>
        <v>0</v>
      </c>
      <c r="K1251" s="43"/>
      <c r="L1251" s="83" t="str">
        <f t="shared" si="91"/>
        <v/>
      </c>
      <c r="M1251" s="53"/>
      <c r="Q1251" s="12"/>
      <c r="S1251"/>
    </row>
    <row r="1252" spans="1:19" x14ac:dyDescent="0.25">
      <c r="A1252" s="12" t="str">
        <f t="shared" si="89"/>
        <v/>
      </c>
      <c r="B1252" s="16"/>
      <c r="C1252" s="17"/>
      <c r="D1252" s="18"/>
      <c r="E1252" s="29"/>
      <c r="F1252" s="27"/>
      <c r="G1252" s="28"/>
      <c r="H1252" s="19"/>
      <c r="I1252" s="23"/>
      <c r="J1252" s="82">
        <f t="shared" si="90"/>
        <v>0</v>
      </c>
      <c r="K1252" s="30"/>
      <c r="L1252" s="83" t="str">
        <f t="shared" si="91"/>
        <v/>
      </c>
      <c r="M1252" s="23"/>
      <c r="Q1252" s="12"/>
      <c r="S1252"/>
    </row>
    <row r="1253" spans="1:19" x14ac:dyDescent="0.25">
      <c r="A1253" s="12" t="str">
        <f t="shared" si="89"/>
        <v/>
      </c>
      <c r="B1253" s="16"/>
      <c r="C1253" s="17"/>
      <c r="D1253" s="18"/>
      <c r="E1253" s="29"/>
      <c r="F1253" s="39"/>
      <c r="G1253" s="40"/>
      <c r="H1253" s="41"/>
      <c r="I1253" s="42"/>
      <c r="J1253" s="82">
        <f t="shared" si="90"/>
        <v>0</v>
      </c>
      <c r="K1253" s="43"/>
      <c r="L1253" s="83" t="str">
        <f t="shared" si="91"/>
        <v/>
      </c>
      <c r="M1253" s="53"/>
      <c r="Q1253" s="12"/>
      <c r="S1253"/>
    </row>
    <row r="1254" spans="1:19" x14ac:dyDescent="0.25">
      <c r="A1254" s="12" t="str">
        <f t="shared" si="89"/>
        <v/>
      </c>
      <c r="B1254" s="16"/>
      <c r="C1254" s="17"/>
      <c r="D1254" s="18"/>
      <c r="E1254" s="29"/>
      <c r="F1254" s="27"/>
      <c r="G1254" s="28"/>
      <c r="H1254" s="19"/>
      <c r="I1254" s="23"/>
      <c r="J1254" s="82">
        <f t="shared" si="90"/>
        <v>0</v>
      </c>
      <c r="K1254" s="30"/>
      <c r="L1254" s="83" t="str">
        <f t="shared" si="91"/>
        <v/>
      </c>
      <c r="M1254" s="23"/>
      <c r="Q1254" s="12"/>
      <c r="S1254"/>
    </row>
    <row r="1255" spans="1:19" x14ac:dyDescent="0.25">
      <c r="A1255" s="12" t="str">
        <f t="shared" si="89"/>
        <v/>
      </c>
      <c r="B1255" s="16"/>
      <c r="C1255" s="17"/>
      <c r="D1255" s="18"/>
      <c r="E1255" s="29"/>
      <c r="F1255" s="39"/>
      <c r="G1255" s="40"/>
      <c r="H1255" s="41"/>
      <c r="I1255" s="42"/>
      <c r="J1255" s="82">
        <f t="shared" si="90"/>
        <v>0</v>
      </c>
      <c r="K1255" s="43"/>
      <c r="L1255" s="83" t="str">
        <f t="shared" si="91"/>
        <v/>
      </c>
      <c r="M1255" s="53"/>
      <c r="Q1255" s="12"/>
      <c r="S1255"/>
    </row>
    <row r="1256" spans="1:19" x14ac:dyDescent="0.25">
      <c r="A1256" s="12" t="str">
        <f t="shared" si="89"/>
        <v/>
      </c>
      <c r="B1256" s="16"/>
      <c r="C1256" s="17"/>
      <c r="D1256" s="18"/>
      <c r="E1256" s="29"/>
      <c r="F1256" s="27"/>
      <c r="G1256" s="28"/>
      <c r="H1256" s="19"/>
      <c r="I1256" s="23"/>
      <c r="J1256" s="82">
        <f t="shared" si="90"/>
        <v>0</v>
      </c>
      <c r="K1256" s="30"/>
      <c r="L1256" s="83" t="str">
        <f t="shared" si="91"/>
        <v/>
      </c>
      <c r="M1256" s="23"/>
      <c r="Q1256" s="12"/>
      <c r="S1256"/>
    </row>
    <row r="1257" spans="1:19" x14ac:dyDescent="0.25">
      <c r="A1257" s="12" t="str">
        <f t="shared" si="89"/>
        <v/>
      </c>
      <c r="B1257" s="16"/>
      <c r="C1257" s="17"/>
      <c r="D1257" s="18"/>
      <c r="E1257" s="29"/>
      <c r="F1257" s="39"/>
      <c r="G1257" s="40"/>
      <c r="H1257" s="41"/>
      <c r="I1257" s="42"/>
      <c r="J1257" s="82">
        <f t="shared" si="90"/>
        <v>0</v>
      </c>
      <c r="K1257" s="43"/>
      <c r="L1257" s="83" t="str">
        <f t="shared" si="91"/>
        <v/>
      </c>
      <c r="M1257" s="53"/>
      <c r="Q1257" s="12"/>
      <c r="S1257"/>
    </row>
    <row r="1258" spans="1:19" x14ac:dyDescent="0.25">
      <c r="A1258" s="12" t="str">
        <f t="shared" si="89"/>
        <v/>
      </c>
      <c r="B1258" s="16"/>
      <c r="C1258" s="17"/>
      <c r="D1258" s="18"/>
      <c r="E1258" s="29"/>
      <c r="F1258" s="27"/>
      <c r="G1258" s="28"/>
      <c r="H1258" s="19"/>
      <c r="I1258" s="23"/>
      <c r="J1258" s="82">
        <f t="shared" si="90"/>
        <v>0</v>
      </c>
      <c r="K1258" s="30"/>
      <c r="L1258" s="83" t="str">
        <f t="shared" si="91"/>
        <v/>
      </c>
      <c r="M1258" s="23"/>
      <c r="Q1258" s="12"/>
      <c r="S1258"/>
    </row>
    <row r="1259" spans="1:19" x14ac:dyDescent="0.25">
      <c r="A1259" s="12" t="str">
        <f t="shared" si="89"/>
        <v/>
      </c>
      <c r="B1259" s="16"/>
      <c r="C1259" s="17"/>
      <c r="D1259" s="18"/>
      <c r="E1259" s="29"/>
      <c r="F1259" s="39"/>
      <c r="G1259" s="40"/>
      <c r="H1259" s="41"/>
      <c r="I1259" s="42"/>
      <c r="J1259" s="82">
        <f t="shared" si="90"/>
        <v>0</v>
      </c>
      <c r="K1259" s="43"/>
      <c r="L1259" s="83" t="str">
        <f t="shared" si="91"/>
        <v/>
      </c>
      <c r="M1259" s="53"/>
      <c r="Q1259" s="12"/>
      <c r="S1259"/>
    </row>
    <row r="1260" spans="1:19" x14ac:dyDescent="0.25">
      <c r="A1260" s="12" t="str">
        <f t="shared" si="89"/>
        <v/>
      </c>
      <c r="B1260" s="16"/>
      <c r="C1260" s="17"/>
      <c r="D1260" s="18"/>
      <c r="E1260" s="29"/>
      <c r="F1260" s="27"/>
      <c r="G1260" s="28"/>
      <c r="H1260" s="19"/>
      <c r="I1260" s="23"/>
      <c r="J1260" s="82">
        <f t="shared" si="90"/>
        <v>0</v>
      </c>
      <c r="K1260" s="30"/>
      <c r="L1260" s="83" t="str">
        <f t="shared" si="91"/>
        <v/>
      </c>
      <c r="M1260" s="23"/>
      <c r="Q1260" s="12"/>
      <c r="S1260"/>
    </row>
    <row r="1261" spans="1:19" x14ac:dyDescent="0.25">
      <c r="A1261" s="12" t="str">
        <f t="shared" si="89"/>
        <v/>
      </c>
      <c r="B1261" s="16"/>
      <c r="C1261" s="17"/>
      <c r="D1261" s="18"/>
      <c r="E1261" s="29"/>
      <c r="F1261" s="39"/>
      <c r="G1261" s="40"/>
      <c r="H1261" s="41"/>
      <c r="I1261" s="42"/>
      <c r="J1261" s="82">
        <f t="shared" si="90"/>
        <v>0</v>
      </c>
      <c r="K1261" s="43"/>
      <c r="L1261" s="83" t="str">
        <f t="shared" si="91"/>
        <v/>
      </c>
      <c r="M1261" s="53"/>
      <c r="Q1261" s="12"/>
      <c r="S1261"/>
    </row>
    <row r="1262" spans="1:19" x14ac:dyDescent="0.25">
      <c r="A1262" s="12" t="str">
        <f t="shared" si="89"/>
        <v/>
      </c>
      <c r="B1262" s="16"/>
      <c r="C1262" s="17"/>
      <c r="D1262" s="18"/>
      <c r="E1262" s="29"/>
      <c r="F1262" s="27"/>
      <c r="G1262" s="28"/>
      <c r="H1262" s="19"/>
      <c r="I1262" s="23"/>
      <c r="J1262" s="82">
        <f t="shared" si="90"/>
        <v>0</v>
      </c>
      <c r="K1262" s="30"/>
      <c r="L1262" s="83" t="str">
        <f t="shared" si="91"/>
        <v/>
      </c>
      <c r="M1262" s="23"/>
      <c r="Q1262" s="12"/>
      <c r="S1262"/>
    </row>
    <row r="1263" spans="1:19" x14ac:dyDescent="0.25">
      <c r="A1263" s="12" t="str">
        <f t="shared" si="89"/>
        <v/>
      </c>
      <c r="B1263" s="16"/>
      <c r="C1263" s="17"/>
      <c r="D1263" s="18"/>
      <c r="E1263" s="29"/>
      <c r="F1263" s="39"/>
      <c r="G1263" s="40"/>
      <c r="H1263" s="41"/>
      <c r="I1263" s="42"/>
      <c r="J1263" s="82">
        <f t="shared" si="90"/>
        <v>0</v>
      </c>
      <c r="K1263" s="43"/>
      <c r="L1263" s="83" t="str">
        <f t="shared" si="91"/>
        <v/>
      </c>
      <c r="M1263" s="53"/>
      <c r="Q1263" s="12"/>
      <c r="S1263"/>
    </row>
    <row r="1264" spans="1:19" x14ac:dyDescent="0.25">
      <c r="A1264" s="12" t="str">
        <f t="shared" si="89"/>
        <v/>
      </c>
      <c r="B1264" s="16"/>
      <c r="C1264" s="17"/>
      <c r="D1264" s="18"/>
      <c r="E1264" s="29"/>
      <c r="F1264" s="27"/>
      <c r="G1264" s="28"/>
      <c r="H1264" s="19"/>
      <c r="I1264" s="23"/>
      <c r="J1264" s="82">
        <f t="shared" si="90"/>
        <v>0</v>
      </c>
      <c r="K1264" s="30"/>
      <c r="L1264" s="83" t="str">
        <f t="shared" si="91"/>
        <v/>
      </c>
      <c r="M1264" s="23"/>
      <c r="Q1264" s="12"/>
      <c r="S1264"/>
    </row>
    <row r="1265" spans="1:19" x14ac:dyDescent="0.25">
      <c r="A1265" s="12" t="str">
        <f t="shared" si="89"/>
        <v/>
      </c>
      <c r="B1265" s="16"/>
      <c r="C1265" s="17"/>
      <c r="D1265" s="18"/>
      <c r="E1265" s="29"/>
      <c r="F1265" s="39"/>
      <c r="G1265" s="40"/>
      <c r="H1265" s="41"/>
      <c r="I1265" s="42"/>
      <c r="J1265" s="82">
        <f t="shared" si="90"/>
        <v>0</v>
      </c>
      <c r="K1265" s="43"/>
      <c r="L1265" s="83" t="str">
        <f t="shared" si="91"/>
        <v/>
      </c>
      <c r="M1265" s="53"/>
      <c r="Q1265" s="12"/>
      <c r="S1265"/>
    </row>
    <row r="1266" spans="1:19" x14ac:dyDescent="0.25">
      <c r="A1266" s="12" t="str">
        <f t="shared" si="89"/>
        <v/>
      </c>
      <c r="B1266" s="16"/>
      <c r="C1266" s="17"/>
      <c r="D1266" s="18"/>
      <c r="E1266" s="29"/>
      <c r="F1266" s="27"/>
      <c r="G1266" s="28"/>
      <c r="H1266" s="19"/>
      <c r="I1266" s="23"/>
      <c r="J1266" s="82">
        <f t="shared" si="90"/>
        <v>0</v>
      </c>
      <c r="K1266" s="30"/>
      <c r="L1266" s="83" t="str">
        <f t="shared" si="91"/>
        <v/>
      </c>
      <c r="M1266" s="23"/>
      <c r="Q1266" s="12"/>
      <c r="S1266"/>
    </row>
    <row r="1267" spans="1:19" x14ac:dyDescent="0.25">
      <c r="A1267" s="12" t="str">
        <f t="shared" si="89"/>
        <v/>
      </c>
      <c r="B1267" s="16"/>
      <c r="C1267" s="17"/>
      <c r="D1267" s="18"/>
      <c r="E1267" s="29"/>
      <c r="F1267" s="39"/>
      <c r="G1267" s="40"/>
      <c r="H1267" s="41"/>
      <c r="I1267" s="42"/>
      <c r="J1267" s="82">
        <f t="shared" si="90"/>
        <v>0</v>
      </c>
      <c r="K1267" s="43"/>
      <c r="L1267" s="83" t="str">
        <f t="shared" si="91"/>
        <v/>
      </c>
      <c r="M1267" s="53"/>
      <c r="Q1267" s="12"/>
      <c r="S1267"/>
    </row>
    <row r="1268" spans="1:19" x14ac:dyDescent="0.25">
      <c r="A1268" s="12" t="str">
        <f t="shared" ref="A1268:A1331" si="92">IFERROR(DATE(B1268,C1268,D1268),"")</f>
        <v/>
      </c>
      <c r="B1268" s="16"/>
      <c r="C1268" s="17"/>
      <c r="D1268" s="18"/>
      <c r="E1268" s="29"/>
      <c r="F1268" s="27"/>
      <c r="G1268" s="28"/>
      <c r="H1268" s="19"/>
      <c r="I1268" s="23"/>
      <c r="J1268" s="82">
        <f t="shared" ref="J1268:J1331" si="93">IF(E1268="entrada",H1268*I1268,H1268*I1268*-1)</f>
        <v>0</v>
      </c>
      <c r="K1268" s="30"/>
      <c r="L1268" s="83" t="str">
        <f t="shared" ref="L1268:L1331" si="94">IF(J1268=0,"",SUM(L1267,J1268))</f>
        <v/>
      </c>
      <c r="M1268" s="23"/>
      <c r="Q1268" s="12"/>
      <c r="S1268"/>
    </row>
    <row r="1269" spans="1:19" x14ac:dyDescent="0.25">
      <c r="A1269" s="12" t="str">
        <f t="shared" si="92"/>
        <v/>
      </c>
      <c r="B1269" s="16"/>
      <c r="C1269" s="17"/>
      <c r="D1269" s="18"/>
      <c r="E1269" s="29"/>
      <c r="F1269" s="39"/>
      <c r="G1269" s="40"/>
      <c r="H1269" s="41"/>
      <c r="I1269" s="42"/>
      <c r="J1269" s="82">
        <f t="shared" si="93"/>
        <v>0</v>
      </c>
      <c r="K1269" s="43"/>
      <c r="L1269" s="83" t="str">
        <f t="shared" si="94"/>
        <v/>
      </c>
      <c r="M1269" s="53"/>
      <c r="Q1269" s="12"/>
      <c r="S1269"/>
    </row>
    <row r="1270" spans="1:19" x14ac:dyDescent="0.25">
      <c r="A1270" s="12" t="str">
        <f t="shared" si="92"/>
        <v/>
      </c>
      <c r="B1270" s="16"/>
      <c r="C1270" s="17"/>
      <c r="D1270" s="18"/>
      <c r="E1270" s="29"/>
      <c r="F1270" s="27"/>
      <c r="G1270" s="28"/>
      <c r="H1270" s="19"/>
      <c r="I1270" s="23"/>
      <c r="J1270" s="82">
        <f t="shared" si="93"/>
        <v>0</v>
      </c>
      <c r="K1270" s="30"/>
      <c r="L1270" s="83" t="str">
        <f t="shared" si="94"/>
        <v/>
      </c>
      <c r="M1270" s="23"/>
      <c r="Q1270" s="12"/>
      <c r="S1270"/>
    </row>
    <row r="1271" spans="1:19" x14ac:dyDescent="0.25">
      <c r="A1271" s="12" t="str">
        <f t="shared" si="92"/>
        <v/>
      </c>
      <c r="B1271" s="16"/>
      <c r="C1271" s="17"/>
      <c r="D1271" s="18"/>
      <c r="E1271" s="29"/>
      <c r="F1271" s="39"/>
      <c r="G1271" s="40"/>
      <c r="H1271" s="41"/>
      <c r="I1271" s="42"/>
      <c r="J1271" s="82">
        <f t="shared" si="93"/>
        <v>0</v>
      </c>
      <c r="K1271" s="43"/>
      <c r="L1271" s="83" t="str">
        <f t="shared" si="94"/>
        <v/>
      </c>
      <c r="M1271" s="53"/>
      <c r="Q1271" s="12"/>
      <c r="S1271"/>
    </row>
    <row r="1272" spans="1:19" x14ac:dyDescent="0.25">
      <c r="A1272" s="12" t="str">
        <f t="shared" si="92"/>
        <v/>
      </c>
      <c r="B1272" s="16"/>
      <c r="C1272" s="17"/>
      <c r="D1272" s="18"/>
      <c r="E1272" s="29"/>
      <c r="F1272" s="27"/>
      <c r="G1272" s="28"/>
      <c r="H1272" s="19"/>
      <c r="I1272" s="23"/>
      <c r="J1272" s="82">
        <f t="shared" si="93"/>
        <v>0</v>
      </c>
      <c r="K1272" s="30"/>
      <c r="L1272" s="83" t="str">
        <f t="shared" si="94"/>
        <v/>
      </c>
      <c r="M1272" s="23"/>
      <c r="Q1272" s="12"/>
      <c r="S1272"/>
    </row>
    <row r="1273" spans="1:19" x14ac:dyDescent="0.25">
      <c r="A1273" s="12" t="str">
        <f t="shared" si="92"/>
        <v/>
      </c>
      <c r="B1273" s="16"/>
      <c r="C1273" s="17"/>
      <c r="D1273" s="18"/>
      <c r="E1273" s="29"/>
      <c r="F1273" s="39"/>
      <c r="G1273" s="40"/>
      <c r="H1273" s="41"/>
      <c r="I1273" s="42"/>
      <c r="J1273" s="82">
        <f t="shared" si="93"/>
        <v>0</v>
      </c>
      <c r="K1273" s="43"/>
      <c r="L1273" s="83" t="str">
        <f t="shared" si="94"/>
        <v/>
      </c>
      <c r="M1273" s="53"/>
      <c r="Q1273" s="12"/>
      <c r="S1273"/>
    </row>
    <row r="1274" spans="1:19" x14ac:dyDescent="0.25">
      <c r="A1274" s="12" t="str">
        <f t="shared" si="92"/>
        <v/>
      </c>
      <c r="B1274" s="16"/>
      <c r="C1274" s="17"/>
      <c r="D1274" s="18"/>
      <c r="E1274" s="29"/>
      <c r="F1274" s="27"/>
      <c r="G1274" s="28"/>
      <c r="H1274" s="19"/>
      <c r="I1274" s="23"/>
      <c r="J1274" s="82">
        <f t="shared" si="93"/>
        <v>0</v>
      </c>
      <c r="K1274" s="30"/>
      <c r="L1274" s="83" t="str">
        <f t="shared" si="94"/>
        <v/>
      </c>
      <c r="M1274" s="23"/>
      <c r="Q1274" s="12"/>
      <c r="S1274"/>
    </row>
    <row r="1275" spans="1:19" x14ac:dyDescent="0.25">
      <c r="A1275" s="12" t="str">
        <f t="shared" si="92"/>
        <v/>
      </c>
      <c r="B1275" s="16"/>
      <c r="C1275" s="17"/>
      <c r="D1275" s="18"/>
      <c r="E1275" s="29"/>
      <c r="F1275" s="39"/>
      <c r="G1275" s="40"/>
      <c r="H1275" s="41"/>
      <c r="I1275" s="42"/>
      <c r="J1275" s="82">
        <f t="shared" si="93"/>
        <v>0</v>
      </c>
      <c r="K1275" s="43"/>
      <c r="L1275" s="83" t="str">
        <f t="shared" si="94"/>
        <v/>
      </c>
      <c r="M1275" s="53"/>
      <c r="Q1275" s="12"/>
      <c r="S1275"/>
    </row>
    <row r="1276" spans="1:19" x14ac:dyDescent="0.25">
      <c r="A1276" s="12" t="str">
        <f t="shared" si="92"/>
        <v/>
      </c>
      <c r="B1276" s="16"/>
      <c r="C1276" s="17"/>
      <c r="D1276" s="18"/>
      <c r="E1276" s="29"/>
      <c r="F1276" s="27"/>
      <c r="G1276" s="28"/>
      <c r="H1276" s="19"/>
      <c r="I1276" s="23"/>
      <c r="J1276" s="82">
        <f t="shared" si="93"/>
        <v>0</v>
      </c>
      <c r="K1276" s="30"/>
      <c r="L1276" s="83" t="str">
        <f t="shared" si="94"/>
        <v/>
      </c>
      <c r="M1276" s="23"/>
      <c r="Q1276" s="12"/>
      <c r="S1276"/>
    </row>
    <row r="1277" spans="1:19" x14ac:dyDescent="0.25">
      <c r="A1277" s="12" t="str">
        <f t="shared" si="92"/>
        <v/>
      </c>
      <c r="B1277" s="16"/>
      <c r="C1277" s="17"/>
      <c r="D1277" s="18"/>
      <c r="E1277" s="29"/>
      <c r="F1277" s="39"/>
      <c r="G1277" s="40"/>
      <c r="H1277" s="41"/>
      <c r="I1277" s="42"/>
      <c r="J1277" s="82">
        <f t="shared" si="93"/>
        <v>0</v>
      </c>
      <c r="K1277" s="43"/>
      <c r="L1277" s="83" t="str">
        <f t="shared" si="94"/>
        <v/>
      </c>
      <c r="M1277" s="53"/>
      <c r="Q1277" s="12"/>
      <c r="S1277"/>
    </row>
    <row r="1278" spans="1:19" x14ac:dyDescent="0.25">
      <c r="A1278" s="12" t="str">
        <f t="shared" si="92"/>
        <v/>
      </c>
      <c r="B1278" s="16"/>
      <c r="C1278" s="17"/>
      <c r="D1278" s="18"/>
      <c r="E1278" s="29"/>
      <c r="F1278" s="27"/>
      <c r="G1278" s="28"/>
      <c r="H1278" s="19"/>
      <c r="I1278" s="23"/>
      <c r="J1278" s="82">
        <f t="shared" si="93"/>
        <v>0</v>
      </c>
      <c r="K1278" s="30"/>
      <c r="L1278" s="83" t="str">
        <f t="shared" si="94"/>
        <v/>
      </c>
      <c r="M1278" s="23"/>
      <c r="Q1278" s="12"/>
      <c r="S1278"/>
    </row>
    <row r="1279" spans="1:19" x14ac:dyDescent="0.25">
      <c r="A1279" s="12" t="str">
        <f t="shared" si="92"/>
        <v/>
      </c>
      <c r="B1279" s="16"/>
      <c r="C1279" s="17"/>
      <c r="D1279" s="18"/>
      <c r="E1279" s="29"/>
      <c r="F1279" s="39"/>
      <c r="G1279" s="40"/>
      <c r="H1279" s="41"/>
      <c r="I1279" s="42"/>
      <c r="J1279" s="82">
        <f t="shared" si="93"/>
        <v>0</v>
      </c>
      <c r="K1279" s="43"/>
      <c r="L1279" s="83" t="str">
        <f t="shared" si="94"/>
        <v/>
      </c>
      <c r="M1279" s="53"/>
      <c r="Q1279" s="12"/>
      <c r="S1279"/>
    </row>
    <row r="1280" spans="1:19" x14ac:dyDescent="0.25">
      <c r="A1280" s="12" t="str">
        <f t="shared" si="92"/>
        <v/>
      </c>
      <c r="B1280" s="16"/>
      <c r="C1280" s="17"/>
      <c r="D1280" s="18"/>
      <c r="E1280" s="29"/>
      <c r="F1280" s="27"/>
      <c r="G1280" s="28"/>
      <c r="H1280" s="19"/>
      <c r="I1280" s="23"/>
      <c r="J1280" s="82">
        <f t="shared" si="93"/>
        <v>0</v>
      </c>
      <c r="K1280" s="30"/>
      <c r="L1280" s="83" t="str">
        <f t="shared" si="94"/>
        <v/>
      </c>
      <c r="M1280" s="23"/>
      <c r="Q1280" s="12"/>
      <c r="S1280"/>
    </row>
    <row r="1281" spans="1:19" x14ac:dyDescent="0.25">
      <c r="A1281" s="12" t="str">
        <f t="shared" si="92"/>
        <v/>
      </c>
      <c r="B1281" s="16"/>
      <c r="C1281" s="17"/>
      <c r="D1281" s="18"/>
      <c r="E1281" s="29"/>
      <c r="F1281" s="39"/>
      <c r="G1281" s="40"/>
      <c r="H1281" s="41"/>
      <c r="I1281" s="42"/>
      <c r="J1281" s="82">
        <f t="shared" si="93"/>
        <v>0</v>
      </c>
      <c r="K1281" s="43"/>
      <c r="L1281" s="83" t="str">
        <f t="shared" si="94"/>
        <v/>
      </c>
      <c r="M1281" s="53"/>
      <c r="Q1281" s="12"/>
      <c r="S1281"/>
    </row>
    <row r="1282" spans="1:19" x14ac:dyDescent="0.25">
      <c r="A1282" s="12" t="str">
        <f t="shared" si="92"/>
        <v/>
      </c>
      <c r="B1282" s="16"/>
      <c r="C1282" s="17"/>
      <c r="D1282" s="18"/>
      <c r="E1282" s="29"/>
      <c r="F1282" s="27"/>
      <c r="G1282" s="28"/>
      <c r="H1282" s="19"/>
      <c r="I1282" s="23"/>
      <c r="J1282" s="82">
        <f t="shared" si="93"/>
        <v>0</v>
      </c>
      <c r="K1282" s="30"/>
      <c r="L1282" s="83" t="str">
        <f t="shared" si="94"/>
        <v/>
      </c>
      <c r="M1282" s="23"/>
      <c r="Q1282" s="12"/>
      <c r="S1282"/>
    </row>
    <row r="1283" spans="1:19" x14ac:dyDescent="0.25">
      <c r="A1283" s="12" t="str">
        <f t="shared" si="92"/>
        <v/>
      </c>
      <c r="B1283" s="16"/>
      <c r="C1283" s="17"/>
      <c r="D1283" s="18"/>
      <c r="E1283" s="29"/>
      <c r="F1283" s="39"/>
      <c r="G1283" s="40"/>
      <c r="H1283" s="41"/>
      <c r="I1283" s="42"/>
      <c r="J1283" s="82">
        <f t="shared" si="93"/>
        <v>0</v>
      </c>
      <c r="K1283" s="43"/>
      <c r="L1283" s="83" t="str">
        <f t="shared" si="94"/>
        <v/>
      </c>
      <c r="M1283" s="53"/>
      <c r="Q1283" s="12"/>
      <c r="S1283"/>
    </row>
    <row r="1284" spans="1:19" x14ac:dyDescent="0.25">
      <c r="A1284" s="12" t="str">
        <f t="shared" si="92"/>
        <v/>
      </c>
      <c r="B1284" s="16"/>
      <c r="C1284" s="17"/>
      <c r="D1284" s="18"/>
      <c r="E1284" s="29"/>
      <c r="F1284" s="27"/>
      <c r="G1284" s="28"/>
      <c r="H1284" s="19"/>
      <c r="I1284" s="23"/>
      <c r="J1284" s="82">
        <f t="shared" si="93"/>
        <v>0</v>
      </c>
      <c r="K1284" s="30"/>
      <c r="L1284" s="83" t="str">
        <f t="shared" si="94"/>
        <v/>
      </c>
      <c r="M1284" s="23"/>
      <c r="Q1284" s="12"/>
      <c r="S1284"/>
    </row>
    <row r="1285" spans="1:19" x14ac:dyDescent="0.25">
      <c r="A1285" s="12" t="str">
        <f t="shared" si="92"/>
        <v/>
      </c>
      <c r="B1285" s="16"/>
      <c r="C1285" s="17"/>
      <c r="D1285" s="18"/>
      <c r="E1285" s="29"/>
      <c r="F1285" s="39"/>
      <c r="G1285" s="40"/>
      <c r="H1285" s="41"/>
      <c r="I1285" s="42"/>
      <c r="J1285" s="82">
        <f t="shared" si="93"/>
        <v>0</v>
      </c>
      <c r="K1285" s="43"/>
      <c r="L1285" s="83" t="str">
        <f t="shared" si="94"/>
        <v/>
      </c>
      <c r="M1285" s="53"/>
      <c r="Q1285" s="12"/>
      <c r="S1285"/>
    </row>
    <row r="1286" spans="1:19" x14ac:dyDescent="0.25">
      <c r="A1286" s="12" t="str">
        <f t="shared" si="92"/>
        <v/>
      </c>
      <c r="B1286" s="16"/>
      <c r="C1286" s="17"/>
      <c r="D1286" s="18"/>
      <c r="E1286" s="29"/>
      <c r="F1286" s="27"/>
      <c r="G1286" s="28"/>
      <c r="H1286" s="19"/>
      <c r="I1286" s="23"/>
      <c r="J1286" s="82">
        <f t="shared" si="93"/>
        <v>0</v>
      </c>
      <c r="K1286" s="30"/>
      <c r="L1286" s="83" t="str">
        <f t="shared" si="94"/>
        <v/>
      </c>
      <c r="M1286" s="23"/>
      <c r="Q1286" s="12"/>
      <c r="S1286"/>
    </row>
    <row r="1287" spans="1:19" x14ac:dyDescent="0.25">
      <c r="A1287" s="12" t="str">
        <f t="shared" si="92"/>
        <v/>
      </c>
      <c r="B1287" s="16"/>
      <c r="C1287" s="17"/>
      <c r="D1287" s="18"/>
      <c r="E1287" s="29"/>
      <c r="F1287" s="39"/>
      <c r="G1287" s="40"/>
      <c r="H1287" s="41"/>
      <c r="I1287" s="42"/>
      <c r="J1287" s="82">
        <f t="shared" si="93"/>
        <v>0</v>
      </c>
      <c r="K1287" s="43"/>
      <c r="L1287" s="83" t="str">
        <f t="shared" si="94"/>
        <v/>
      </c>
      <c r="M1287" s="53"/>
      <c r="Q1287" s="12"/>
      <c r="S1287"/>
    </row>
    <row r="1288" spans="1:19" x14ac:dyDescent="0.25">
      <c r="A1288" s="12" t="str">
        <f t="shared" si="92"/>
        <v/>
      </c>
      <c r="B1288" s="16"/>
      <c r="C1288" s="17"/>
      <c r="D1288" s="18"/>
      <c r="E1288" s="29"/>
      <c r="F1288" s="27"/>
      <c r="G1288" s="28"/>
      <c r="H1288" s="19"/>
      <c r="I1288" s="23"/>
      <c r="J1288" s="82">
        <f t="shared" si="93"/>
        <v>0</v>
      </c>
      <c r="K1288" s="30"/>
      <c r="L1288" s="83" t="str">
        <f t="shared" si="94"/>
        <v/>
      </c>
      <c r="M1288" s="23"/>
      <c r="Q1288" s="12"/>
      <c r="S1288"/>
    </row>
    <row r="1289" spans="1:19" x14ac:dyDescent="0.25">
      <c r="A1289" s="12" t="str">
        <f t="shared" si="92"/>
        <v/>
      </c>
      <c r="B1289" s="16"/>
      <c r="C1289" s="17"/>
      <c r="D1289" s="18"/>
      <c r="E1289" s="29"/>
      <c r="F1289" s="39"/>
      <c r="G1289" s="40"/>
      <c r="H1289" s="41"/>
      <c r="I1289" s="42"/>
      <c r="J1289" s="82">
        <f t="shared" si="93"/>
        <v>0</v>
      </c>
      <c r="K1289" s="43"/>
      <c r="L1289" s="83" t="str">
        <f t="shared" si="94"/>
        <v/>
      </c>
      <c r="M1289" s="53"/>
      <c r="Q1289" s="12"/>
      <c r="S1289"/>
    </row>
    <row r="1290" spans="1:19" x14ac:dyDescent="0.25">
      <c r="A1290" s="12" t="str">
        <f t="shared" si="92"/>
        <v/>
      </c>
      <c r="B1290" s="16"/>
      <c r="C1290" s="17"/>
      <c r="D1290" s="18"/>
      <c r="E1290" s="29"/>
      <c r="F1290" s="27"/>
      <c r="G1290" s="28"/>
      <c r="H1290" s="19"/>
      <c r="I1290" s="23"/>
      <c r="J1290" s="82">
        <f t="shared" si="93"/>
        <v>0</v>
      </c>
      <c r="K1290" s="30"/>
      <c r="L1290" s="83" t="str">
        <f t="shared" si="94"/>
        <v/>
      </c>
      <c r="M1290" s="23"/>
      <c r="Q1290" s="12"/>
      <c r="S1290"/>
    </row>
    <row r="1291" spans="1:19" x14ac:dyDescent="0.25">
      <c r="A1291" s="12" t="str">
        <f t="shared" si="92"/>
        <v/>
      </c>
      <c r="B1291" s="16"/>
      <c r="C1291" s="17"/>
      <c r="D1291" s="18"/>
      <c r="E1291" s="29"/>
      <c r="F1291" s="39"/>
      <c r="G1291" s="40"/>
      <c r="H1291" s="41"/>
      <c r="I1291" s="42"/>
      <c r="J1291" s="82">
        <f t="shared" si="93"/>
        <v>0</v>
      </c>
      <c r="K1291" s="43"/>
      <c r="L1291" s="83" t="str">
        <f t="shared" si="94"/>
        <v/>
      </c>
      <c r="M1291" s="53"/>
      <c r="Q1291" s="12"/>
      <c r="S1291"/>
    </row>
    <row r="1292" spans="1:19" x14ac:dyDescent="0.25">
      <c r="A1292" s="12" t="str">
        <f t="shared" si="92"/>
        <v/>
      </c>
      <c r="B1292" s="16"/>
      <c r="C1292" s="17"/>
      <c r="D1292" s="18"/>
      <c r="E1292" s="29"/>
      <c r="F1292" s="27"/>
      <c r="G1292" s="28"/>
      <c r="H1292" s="19"/>
      <c r="I1292" s="23"/>
      <c r="J1292" s="82">
        <f t="shared" si="93"/>
        <v>0</v>
      </c>
      <c r="K1292" s="30"/>
      <c r="L1292" s="83" t="str">
        <f t="shared" si="94"/>
        <v/>
      </c>
      <c r="M1292" s="23"/>
      <c r="Q1292" s="12"/>
      <c r="S1292"/>
    </row>
    <row r="1293" spans="1:19" x14ac:dyDescent="0.25">
      <c r="A1293" s="12" t="str">
        <f t="shared" si="92"/>
        <v/>
      </c>
      <c r="B1293" s="16"/>
      <c r="C1293" s="17"/>
      <c r="D1293" s="18"/>
      <c r="E1293" s="29"/>
      <c r="F1293" s="39"/>
      <c r="G1293" s="40"/>
      <c r="H1293" s="41"/>
      <c r="I1293" s="42"/>
      <c r="J1293" s="82">
        <f t="shared" si="93"/>
        <v>0</v>
      </c>
      <c r="K1293" s="43"/>
      <c r="L1293" s="83" t="str">
        <f t="shared" si="94"/>
        <v/>
      </c>
      <c r="M1293" s="53"/>
      <c r="Q1293" s="12"/>
      <c r="S1293"/>
    </row>
    <row r="1294" spans="1:19" x14ac:dyDescent="0.25">
      <c r="A1294" s="12" t="str">
        <f t="shared" si="92"/>
        <v/>
      </c>
      <c r="B1294" s="16"/>
      <c r="C1294" s="17"/>
      <c r="D1294" s="18"/>
      <c r="E1294" s="29"/>
      <c r="F1294" s="27"/>
      <c r="G1294" s="28"/>
      <c r="H1294" s="19"/>
      <c r="I1294" s="23"/>
      <c r="J1294" s="82">
        <f t="shared" si="93"/>
        <v>0</v>
      </c>
      <c r="K1294" s="30"/>
      <c r="L1294" s="83" t="str">
        <f t="shared" si="94"/>
        <v/>
      </c>
      <c r="M1294" s="23"/>
      <c r="Q1294" s="12"/>
      <c r="S1294"/>
    </row>
    <row r="1295" spans="1:19" x14ac:dyDescent="0.25">
      <c r="A1295" s="12" t="str">
        <f t="shared" si="92"/>
        <v/>
      </c>
      <c r="B1295" s="16"/>
      <c r="C1295" s="17"/>
      <c r="D1295" s="18"/>
      <c r="E1295" s="29"/>
      <c r="F1295" s="39"/>
      <c r="G1295" s="40"/>
      <c r="H1295" s="41"/>
      <c r="I1295" s="42"/>
      <c r="J1295" s="82">
        <f t="shared" si="93"/>
        <v>0</v>
      </c>
      <c r="K1295" s="43"/>
      <c r="L1295" s="83" t="str">
        <f t="shared" si="94"/>
        <v/>
      </c>
      <c r="M1295" s="53"/>
      <c r="Q1295" s="12"/>
      <c r="S1295"/>
    </row>
    <row r="1296" spans="1:19" x14ac:dyDescent="0.25">
      <c r="A1296" s="12" t="str">
        <f t="shared" si="92"/>
        <v/>
      </c>
      <c r="B1296" s="16"/>
      <c r="C1296" s="17"/>
      <c r="D1296" s="18"/>
      <c r="E1296" s="29"/>
      <c r="F1296" s="27"/>
      <c r="G1296" s="28"/>
      <c r="H1296" s="19"/>
      <c r="I1296" s="23"/>
      <c r="J1296" s="82">
        <f t="shared" si="93"/>
        <v>0</v>
      </c>
      <c r="K1296" s="30"/>
      <c r="L1296" s="83" t="str">
        <f t="shared" si="94"/>
        <v/>
      </c>
      <c r="M1296" s="23"/>
      <c r="Q1296" s="12"/>
      <c r="S1296"/>
    </row>
    <row r="1297" spans="1:19" x14ac:dyDescent="0.25">
      <c r="A1297" s="12" t="str">
        <f t="shared" si="92"/>
        <v/>
      </c>
      <c r="B1297" s="16"/>
      <c r="C1297" s="17"/>
      <c r="D1297" s="18"/>
      <c r="E1297" s="29"/>
      <c r="F1297" s="39"/>
      <c r="G1297" s="40"/>
      <c r="H1297" s="41"/>
      <c r="I1297" s="42"/>
      <c r="J1297" s="82">
        <f t="shared" si="93"/>
        <v>0</v>
      </c>
      <c r="K1297" s="43"/>
      <c r="L1297" s="83" t="str">
        <f t="shared" si="94"/>
        <v/>
      </c>
      <c r="M1297" s="53"/>
      <c r="Q1297" s="12"/>
      <c r="S1297"/>
    </row>
    <row r="1298" spans="1:19" x14ac:dyDescent="0.25">
      <c r="A1298" s="12" t="str">
        <f t="shared" si="92"/>
        <v/>
      </c>
      <c r="B1298" s="16"/>
      <c r="C1298" s="17"/>
      <c r="D1298" s="18"/>
      <c r="E1298" s="29"/>
      <c r="F1298" s="27"/>
      <c r="G1298" s="28"/>
      <c r="H1298" s="19"/>
      <c r="I1298" s="23"/>
      <c r="J1298" s="82">
        <f t="shared" si="93"/>
        <v>0</v>
      </c>
      <c r="K1298" s="30"/>
      <c r="L1298" s="83" t="str">
        <f t="shared" si="94"/>
        <v/>
      </c>
      <c r="M1298" s="23"/>
      <c r="Q1298" s="12"/>
      <c r="S1298"/>
    </row>
    <row r="1299" spans="1:19" x14ac:dyDescent="0.25">
      <c r="A1299" s="12" t="str">
        <f t="shared" si="92"/>
        <v/>
      </c>
      <c r="B1299" s="16"/>
      <c r="C1299" s="17"/>
      <c r="D1299" s="18"/>
      <c r="E1299" s="29"/>
      <c r="F1299" s="39"/>
      <c r="G1299" s="40"/>
      <c r="H1299" s="41"/>
      <c r="I1299" s="42"/>
      <c r="J1299" s="82">
        <f t="shared" si="93"/>
        <v>0</v>
      </c>
      <c r="K1299" s="43"/>
      <c r="L1299" s="83" t="str">
        <f t="shared" si="94"/>
        <v/>
      </c>
      <c r="M1299" s="53"/>
      <c r="Q1299" s="12"/>
      <c r="S1299"/>
    </row>
    <row r="1300" spans="1:19" x14ac:dyDescent="0.25">
      <c r="A1300" s="12" t="str">
        <f t="shared" si="92"/>
        <v/>
      </c>
      <c r="B1300" s="16"/>
      <c r="C1300" s="17"/>
      <c r="D1300" s="18"/>
      <c r="E1300" s="29"/>
      <c r="F1300" s="27"/>
      <c r="G1300" s="28"/>
      <c r="H1300" s="19"/>
      <c r="I1300" s="23"/>
      <c r="J1300" s="82">
        <f t="shared" si="93"/>
        <v>0</v>
      </c>
      <c r="K1300" s="30"/>
      <c r="L1300" s="83" t="str">
        <f t="shared" si="94"/>
        <v/>
      </c>
      <c r="M1300" s="23"/>
      <c r="Q1300" s="12"/>
      <c r="S1300"/>
    </row>
    <row r="1301" spans="1:19" x14ac:dyDescent="0.25">
      <c r="A1301" s="12" t="str">
        <f t="shared" si="92"/>
        <v/>
      </c>
      <c r="B1301" s="16"/>
      <c r="C1301" s="17"/>
      <c r="D1301" s="18"/>
      <c r="E1301" s="29"/>
      <c r="F1301" s="39"/>
      <c r="G1301" s="40"/>
      <c r="H1301" s="41"/>
      <c r="I1301" s="42"/>
      <c r="J1301" s="82">
        <f t="shared" si="93"/>
        <v>0</v>
      </c>
      <c r="K1301" s="43"/>
      <c r="L1301" s="83" t="str">
        <f t="shared" si="94"/>
        <v/>
      </c>
      <c r="M1301" s="53"/>
      <c r="Q1301" s="12"/>
      <c r="S1301"/>
    </row>
    <row r="1302" spans="1:19" x14ac:dyDescent="0.25">
      <c r="A1302" s="12" t="str">
        <f t="shared" si="92"/>
        <v/>
      </c>
      <c r="B1302" s="16"/>
      <c r="C1302" s="17"/>
      <c r="D1302" s="18"/>
      <c r="E1302" s="29"/>
      <c r="F1302" s="27"/>
      <c r="G1302" s="28"/>
      <c r="H1302" s="19"/>
      <c r="I1302" s="23"/>
      <c r="J1302" s="82">
        <f t="shared" si="93"/>
        <v>0</v>
      </c>
      <c r="K1302" s="30"/>
      <c r="L1302" s="83" t="str">
        <f t="shared" si="94"/>
        <v/>
      </c>
      <c r="M1302" s="23"/>
      <c r="Q1302" s="12"/>
      <c r="S1302"/>
    </row>
    <row r="1303" spans="1:19" x14ac:dyDescent="0.25">
      <c r="A1303" s="12" t="str">
        <f t="shared" si="92"/>
        <v/>
      </c>
      <c r="B1303" s="16"/>
      <c r="C1303" s="17"/>
      <c r="D1303" s="18"/>
      <c r="E1303" s="29"/>
      <c r="F1303" s="39"/>
      <c r="G1303" s="40"/>
      <c r="H1303" s="41"/>
      <c r="I1303" s="42"/>
      <c r="J1303" s="82">
        <f t="shared" si="93"/>
        <v>0</v>
      </c>
      <c r="K1303" s="43"/>
      <c r="L1303" s="83" t="str">
        <f t="shared" si="94"/>
        <v/>
      </c>
      <c r="M1303" s="53"/>
      <c r="Q1303" s="12"/>
      <c r="S1303"/>
    </row>
    <row r="1304" spans="1:19" x14ac:dyDescent="0.25">
      <c r="A1304" s="12" t="str">
        <f t="shared" si="92"/>
        <v/>
      </c>
      <c r="B1304" s="16"/>
      <c r="C1304" s="17"/>
      <c r="D1304" s="18"/>
      <c r="E1304" s="29"/>
      <c r="F1304" s="27"/>
      <c r="G1304" s="28"/>
      <c r="H1304" s="19"/>
      <c r="I1304" s="23"/>
      <c r="J1304" s="82">
        <f t="shared" si="93"/>
        <v>0</v>
      </c>
      <c r="K1304" s="30"/>
      <c r="L1304" s="83" t="str">
        <f t="shared" si="94"/>
        <v/>
      </c>
      <c r="M1304" s="23"/>
      <c r="Q1304" s="12"/>
      <c r="S1304"/>
    </row>
    <row r="1305" spans="1:19" x14ac:dyDescent="0.25">
      <c r="A1305" s="12" t="str">
        <f t="shared" si="92"/>
        <v/>
      </c>
      <c r="B1305" s="16"/>
      <c r="C1305" s="17"/>
      <c r="D1305" s="18"/>
      <c r="E1305" s="29"/>
      <c r="F1305" s="39"/>
      <c r="G1305" s="40"/>
      <c r="H1305" s="41"/>
      <c r="I1305" s="42"/>
      <c r="J1305" s="82">
        <f t="shared" si="93"/>
        <v>0</v>
      </c>
      <c r="K1305" s="43"/>
      <c r="L1305" s="83" t="str">
        <f t="shared" si="94"/>
        <v/>
      </c>
      <c r="M1305" s="53"/>
      <c r="Q1305" s="12"/>
      <c r="S1305"/>
    </row>
    <row r="1306" spans="1:19" x14ac:dyDescent="0.25">
      <c r="A1306" s="12" t="str">
        <f t="shared" si="92"/>
        <v/>
      </c>
      <c r="B1306" s="16"/>
      <c r="C1306" s="17"/>
      <c r="D1306" s="18"/>
      <c r="E1306" s="29"/>
      <c r="F1306" s="27"/>
      <c r="G1306" s="28"/>
      <c r="H1306" s="19"/>
      <c r="I1306" s="23"/>
      <c r="J1306" s="82">
        <f t="shared" si="93"/>
        <v>0</v>
      </c>
      <c r="K1306" s="30"/>
      <c r="L1306" s="83" t="str">
        <f t="shared" si="94"/>
        <v/>
      </c>
      <c r="M1306" s="23"/>
      <c r="Q1306" s="12"/>
      <c r="S1306"/>
    </row>
    <row r="1307" spans="1:19" x14ac:dyDescent="0.25">
      <c r="A1307" s="12" t="str">
        <f t="shared" si="92"/>
        <v/>
      </c>
      <c r="B1307" s="16"/>
      <c r="C1307" s="17"/>
      <c r="D1307" s="18"/>
      <c r="E1307" s="29"/>
      <c r="F1307" s="39"/>
      <c r="G1307" s="40"/>
      <c r="H1307" s="41"/>
      <c r="I1307" s="42"/>
      <c r="J1307" s="82">
        <f t="shared" si="93"/>
        <v>0</v>
      </c>
      <c r="K1307" s="43"/>
      <c r="L1307" s="83" t="str">
        <f t="shared" si="94"/>
        <v/>
      </c>
      <c r="M1307" s="53"/>
      <c r="Q1307" s="12"/>
      <c r="S1307"/>
    </row>
    <row r="1308" spans="1:19" x14ac:dyDescent="0.25">
      <c r="A1308" s="12" t="str">
        <f t="shared" si="92"/>
        <v/>
      </c>
      <c r="B1308" s="16"/>
      <c r="C1308" s="17"/>
      <c r="D1308" s="18"/>
      <c r="E1308" s="29"/>
      <c r="F1308" s="27"/>
      <c r="G1308" s="28"/>
      <c r="H1308" s="19"/>
      <c r="I1308" s="23"/>
      <c r="J1308" s="82">
        <f t="shared" si="93"/>
        <v>0</v>
      </c>
      <c r="K1308" s="30"/>
      <c r="L1308" s="83" t="str">
        <f t="shared" si="94"/>
        <v/>
      </c>
      <c r="M1308" s="23"/>
      <c r="Q1308" s="12"/>
      <c r="S1308"/>
    </row>
    <row r="1309" spans="1:19" x14ac:dyDescent="0.25">
      <c r="A1309" s="12" t="str">
        <f t="shared" si="92"/>
        <v/>
      </c>
      <c r="B1309" s="16"/>
      <c r="C1309" s="17"/>
      <c r="D1309" s="18"/>
      <c r="E1309" s="29"/>
      <c r="F1309" s="39"/>
      <c r="G1309" s="40"/>
      <c r="H1309" s="41"/>
      <c r="I1309" s="42"/>
      <c r="J1309" s="82">
        <f t="shared" si="93"/>
        <v>0</v>
      </c>
      <c r="K1309" s="43"/>
      <c r="L1309" s="83" t="str">
        <f t="shared" si="94"/>
        <v/>
      </c>
      <c r="M1309" s="53"/>
      <c r="Q1309" s="12"/>
      <c r="S1309"/>
    </row>
    <row r="1310" spans="1:19" x14ac:dyDescent="0.25">
      <c r="A1310" s="12" t="str">
        <f t="shared" si="92"/>
        <v/>
      </c>
      <c r="B1310" s="16"/>
      <c r="C1310" s="17"/>
      <c r="D1310" s="18"/>
      <c r="E1310" s="29"/>
      <c r="F1310" s="27"/>
      <c r="G1310" s="28"/>
      <c r="H1310" s="19"/>
      <c r="I1310" s="23"/>
      <c r="J1310" s="82">
        <f t="shared" si="93"/>
        <v>0</v>
      </c>
      <c r="K1310" s="30"/>
      <c r="L1310" s="83" t="str">
        <f t="shared" si="94"/>
        <v/>
      </c>
      <c r="M1310" s="23"/>
      <c r="Q1310" s="12"/>
      <c r="S1310"/>
    </row>
    <row r="1311" spans="1:19" x14ac:dyDescent="0.25">
      <c r="A1311" s="12" t="str">
        <f t="shared" si="92"/>
        <v/>
      </c>
      <c r="B1311" s="16"/>
      <c r="C1311" s="17"/>
      <c r="D1311" s="18"/>
      <c r="E1311" s="29"/>
      <c r="F1311" s="39"/>
      <c r="G1311" s="40"/>
      <c r="H1311" s="41"/>
      <c r="I1311" s="42"/>
      <c r="J1311" s="82">
        <f t="shared" si="93"/>
        <v>0</v>
      </c>
      <c r="K1311" s="43"/>
      <c r="L1311" s="83" t="str">
        <f t="shared" si="94"/>
        <v/>
      </c>
      <c r="M1311" s="53"/>
      <c r="Q1311" s="12"/>
      <c r="S1311"/>
    </row>
    <row r="1312" spans="1:19" x14ac:dyDescent="0.25">
      <c r="A1312" s="12" t="str">
        <f t="shared" si="92"/>
        <v/>
      </c>
      <c r="B1312" s="16"/>
      <c r="C1312" s="17"/>
      <c r="D1312" s="18"/>
      <c r="E1312" s="29"/>
      <c r="F1312" s="27"/>
      <c r="G1312" s="28"/>
      <c r="H1312" s="19"/>
      <c r="I1312" s="23"/>
      <c r="J1312" s="82">
        <f t="shared" si="93"/>
        <v>0</v>
      </c>
      <c r="K1312" s="30"/>
      <c r="L1312" s="83" t="str">
        <f t="shared" si="94"/>
        <v/>
      </c>
      <c r="M1312" s="23"/>
      <c r="Q1312" s="12"/>
      <c r="S1312"/>
    </row>
    <row r="1313" spans="1:19" x14ac:dyDescent="0.25">
      <c r="A1313" s="12" t="str">
        <f t="shared" si="92"/>
        <v/>
      </c>
      <c r="B1313" s="16"/>
      <c r="C1313" s="17"/>
      <c r="D1313" s="18"/>
      <c r="E1313" s="29"/>
      <c r="F1313" s="39"/>
      <c r="G1313" s="40"/>
      <c r="H1313" s="41"/>
      <c r="I1313" s="42"/>
      <c r="J1313" s="82">
        <f t="shared" si="93"/>
        <v>0</v>
      </c>
      <c r="K1313" s="43"/>
      <c r="L1313" s="83" t="str">
        <f t="shared" si="94"/>
        <v/>
      </c>
      <c r="M1313" s="53"/>
      <c r="Q1313" s="12"/>
      <c r="S1313"/>
    </row>
    <row r="1314" spans="1:19" x14ac:dyDescent="0.25">
      <c r="A1314" s="12" t="str">
        <f t="shared" si="92"/>
        <v/>
      </c>
      <c r="B1314" s="16"/>
      <c r="C1314" s="17"/>
      <c r="D1314" s="18"/>
      <c r="E1314" s="29"/>
      <c r="F1314" s="27"/>
      <c r="G1314" s="28"/>
      <c r="H1314" s="19"/>
      <c r="I1314" s="23"/>
      <c r="J1314" s="82">
        <f t="shared" si="93"/>
        <v>0</v>
      </c>
      <c r="K1314" s="30"/>
      <c r="L1314" s="83" t="str">
        <f t="shared" si="94"/>
        <v/>
      </c>
      <c r="M1314" s="23"/>
      <c r="Q1314" s="12"/>
      <c r="S1314"/>
    </row>
    <row r="1315" spans="1:19" x14ac:dyDescent="0.25">
      <c r="A1315" s="12" t="str">
        <f t="shared" si="92"/>
        <v/>
      </c>
      <c r="B1315" s="16"/>
      <c r="C1315" s="17"/>
      <c r="D1315" s="18"/>
      <c r="E1315" s="29"/>
      <c r="F1315" s="39"/>
      <c r="G1315" s="40"/>
      <c r="H1315" s="41"/>
      <c r="I1315" s="42"/>
      <c r="J1315" s="82">
        <f t="shared" si="93"/>
        <v>0</v>
      </c>
      <c r="K1315" s="43"/>
      <c r="L1315" s="83" t="str">
        <f t="shared" si="94"/>
        <v/>
      </c>
      <c r="M1315" s="53"/>
      <c r="Q1315" s="12"/>
      <c r="S1315"/>
    </row>
    <row r="1316" spans="1:19" x14ac:dyDescent="0.25">
      <c r="A1316" s="12" t="str">
        <f t="shared" si="92"/>
        <v/>
      </c>
      <c r="B1316" s="16"/>
      <c r="C1316" s="17"/>
      <c r="D1316" s="18"/>
      <c r="E1316" s="29"/>
      <c r="F1316" s="27"/>
      <c r="G1316" s="28"/>
      <c r="H1316" s="19"/>
      <c r="I1316" s="23"/>
      <c r="J1316" s="82">
        <f t="shared" si="93"/>
        <v>0</v>
      </c>
      <c r="K1316" s="30"/>
      <c r="L1316" s="83" t="str">
        <f t="shared" si="94"/>
        <v/>
      </c>
      <c r="M1316" s="23"/>
      <c r="Q1316" s="12"/>
      <c r="S1316"/>
    </row>
    <row r="1317" spans="1:19" x14ac:dyDescent="0.25">
      <c r="A1317" s="12" t="str">
        <f t="shared" si="92"/>
        <v/>
      </c>
      <c r="B1317" s="16"/>
      <c r="C1317" s="17"/>
      <c r="D1317" s="18"/>
      <c r="E1317" s="29"/>
      <c r="F1317" s="39"/>
      <c r="G1317" s="40"/>
      <c r="H1317" s="41"/>
      <c r="I1317" s="42"/>
      <c r="J1317" s="82">
        <f t="shared" si="93"/>
        <v>0</v>
      </c>
      <c r="K1317" s="43"/>
      <c r="L1317" s="83" t="str">
        <f t="shared" si="94"/>
        <v/>
      </c>
      <c r="M1317" s="53"/>
      <c r="Q1317" s="12"/>
      <c r="S1317"/>
    </row>
    <row r="1318" spans="1:19" x14ac:dyDescent="0.25">
      <c r="A1318" s="12" t="str">
        <f t="shared" si="92"/>
        <v/>
      </c>
      <c r="B1318" s="16"/>
      <c r="C1318" s="17"/>
      <c r="D1318" s="18"/>
      <c r="E1318" s="29"/>
      <c r="F1318" s="27"/>
      <c r="G1318" s="28"/>
      <c r="H1318" s="19"/>
      <c r="I1318" s="23"/>
      <c r="J1318" s="82">
        <f t="shared" si="93"/>
        <v>0</v>
      </c>
      <c r="K1318" s="30"/>
      <c r="L1318" s="83" t="str">
        <f t="shared" si="94"/>
        <v/>
      </c>
      <c r="M1318" s="23"/>
      <c r="Q1318" s="12"/>
      <c r="S1318"/>
    </row>
    <row r="1319" spans="1:19" x14ac:dyDescent="0.25">
      <c r="A1319" s="12" t="str">
        <f t="shared" si="92"/>
        <v/>
      </c>
      <c r="B1319" s="16"/>
      <c r="C1319" s="17"/>
      <c r="D1319" s="18"/>
      <c r="E1319" s="29"/>
      <c r="F1319" s="39"/>
      <c r="G1319" s="40"/>
      <c r="H1319" s="41"/>
      <c r="I1319" s="42"/>
      <c r="J1319" s="82">
        <f t="shared" si="93"/>
        <v>0</v>
      </c>
      <c r="K1319" s="43"/>
      <c r="L1319" s="83" t="str">
        <f t="shared" si="94"/>
        <v/>
      </c>
      <c r="M1319" s="53"/>
      <c r="Q1319" s="12"/>
      <c r="S1319"/>
    </row>
    <row r="1320" spans="1:19" x14ac:dyDescent="0.25">
      <c r="A1320" s="12" t="str">
        <f t="shared" si="92"/>
        <v/>
      </c>
      <c r="B1320" s="16"/>
      <c r="C1320" s="17"/>
      <c r="D1320" s="18"/>
      <c r="E1320" s="29"/>
      <c r="F1320" s="27"/>
      <c r="G1320" s="28"/>
      <c r="H1320" s="19"/>
      <c r="I1320" s="23"/>
      <c r="J1320" s="82">
        <f t="shared" si="93"/>
        <v>0</v>
      </c>
      <c r="K1320" s="30"/>
      <c r="L1320" s="83" t="str">
        <f t="shared" si="94"/>
        <v/>
      </c>
      <c r="M1320" s="23"/>
      <c r="Q1320" s="12"/>
      <c r="S1320"/>
    </row>
    <row r="1321" spans="1:19" x14ac:dyDescent="0.25">
      <c r="A1321" s="12" t="str">
        <f t="shared" si="92"/>
        <v/>
      </c>
      <c r="B1321" s="16"/>
      <c r="C1321" s="17"/>
      <c r="D1321" s="18"/>
      <c r="E1321" s="29"/>
      <c r="F1321" s="39"/>
      <c r="G1321" s="40"/>
      <c r="H1321" s="41"/>
      <c r="I1321" s="42"/>
      <c r="J1321" s="82">
        <f t="shared" si="93"/>
        <v>0</v>
      </c>
      <c r="K1321" s="43"/>
      <c r="L1321" s="83" t="str">
        <f t="shared" si="94"/>
        <v/>
      </c>
      <c r="M1321" s="53"/>
      <c r="Q1321" s="12"/>
      <c r="S1321"/>
    </row>
    <row r="1322" spans="1:19" x14ac:dyDescent="0.25">
      <c r="A1322" s="12" t="str">
        <f t="shared" si="92"/>
        <v/>
      </c>
      <c r="B1322" s="16"/>
      <c r="C1322" s="17"/>
      <c r="D1322" s="18"/>
      <c r="E1322" s="29"/>
      <c r="F1322" s="27"/>
      <c r="G1322" s="28"/>
      <c r="H1322" s="19"/>
      <c r="I1322" s="23"/>
      <c r="J1322" s="82">
        <f t="shared" si="93"/>
        <v>0</v>
      </c>
      <c r="K1322" s="30"/>
      <c r="L1322" s="83" t="str">
        <f t="shared" si="94"/>
        <v/>
      </c>
      <c r="M1322" s="23"/>
      <c r="Q1322" s="12"/>
      <c r="S1322"/>
    </row>
    <row r="1323" spans="1:19" x14ac:dyDescent="0.25">
      <c r="A1323" s="12" t="str">
        <f t="shared" si="92"/>
        <v/>
      </c>
      <c r="B1323" s="16"/>
      <c r="C1323" s="17"/>
      <c r="D1323" s="18"/>
      <c r="E1323" s="29"/>
      <c r="F1323" s="39"/>
      <c r="G1323" s="40"/>
      <c r="H1323" s="41"/>
      <c r="I1323" s="42"/>
      <c r="J1323" s="82">
        <f t="shared" si="93"/>
        <v>0</v>
      </c>
      <c r="K1323" s="43"/>
      <c r="L1323" s="83" t="str">
        <f t="shared" si="94"/>
        <v/>
      </c>
      <c r="M1323" s="53"/>
      <c r="Q1323" s="12"/>
      <c r="S1323"/>
    </row>
    <row r="1324" spans="1:19" x14ac:dyDescent="0.25">
      <c r="A1324" s="12" t="str">
        <f t="shared" si="92"/>
        <v/>
      </c>
      <c r="B1324" s="16"/>
      <c r="C1324" s="17"/>
      <c r="D1324" s="18"/>
      <c r="E1324" s="29"/>
      <c r="F1324" s="27"/>
      <c r="G1324" s="28"/>
      <c r="H1324" s="19"/>
      <c r="I1324" s="23"/>
      <c r="J1324" s="82">
        <f t="shared" si="93"/>
        <v>0</v>
      </c>
      <c r="K1324" s="30"/>
      <c r="L1324" s="83" t="str">
        <f t="shared" si="94"/>
        <v/>
      </c>
      <c r="M1324" s="23"/>
      <c r="Q1324" s="12"/>
      <c r="S1324"/>
    </row>
    <row r="1325" spans="1:19" x14ac:dyDescent="0.25">
      <c r="A1325" s="12" t="str">
        <f t="shared" si="92"/>
        <v/>
      </c>
      <c r="B1325" s="16"/>
      <c r="C1325" s="17"/>
      <c r="D1325" s="18"/>
      <c r="E1325" s="29"/>
      <c r="F1325" s="39"/>
      <c r="G1325" s="40"/>
      <c r="H1325" s="41"/>
      <c r="I1325" s="42"/>
      <c r="J1325" s="82">
        <f t="shared" si="93"/>
        <v>0</v>
      </c>
      <c r="K1325" s="43"/>
      <c r="L1325" s="83" t="str">
        <f t="shared" si="94"/>
        <v/>
      </c>
      <c r="M1325" s="53"/>
      <c r="Q1325" s="12"/>
      <c r="S1325"/>
    </row>
    <row r="1326" spans="1:19" x14ac:dyDescent="0.25">
      <c r="A1326" s="12" t="str">
        <f t="shared" si="92"/>
        <v/>
      </c>
      <c r="B1326" s="16"/>
      <c r="C1326" s="17"/>
      <c r="D1326" s="18"/>
      <c r="E1326" s="29"/>
      <c r="F1326" s="27"/>
      <c r="G1326" s="28"/>
      <c r="H1326" s="19"/>
      <c r="I1326" s="23"/>
      <c r="J1326" s="82">
        <f t="shared" si="93"/>
        <v>0</v>
      </c>
      <c r="K1326" s="30"/>
      <c r="L1326" s="83" t="str">
        <f t="shared" si="94"/>
        <v/>
      </c>
      <c r="M1326" s="23"/>
      <c r="Q1326" s="12"/>
      <c r="S1326"/>
    </row>
    <row r="1327" spans="1:19" x14ac:dyDescent="0.25">
      <c r="A1327" s="12" t="str">
        <f t="shared" si="92"/>
        <v/>
      </c>
      <c r="B1327" s="16"/>
      <c r="C1327" s="17"/>
      <c r="D1327" s="18"/>
      <c r="E1327" s="29"/>
      <c r="F1327" s="39"/>
      <c r="G1327" s="40"/>
      <c r="H1327" s="41"/>
      <c r="I1327" s="42"/>
      <c r="J1327" s="82">
        <f t="shared" si="93"/>
        <v>0</v>
      </c>
      <c r="K1327" s="43"/>
      <c r="L1327" s="83" t="str">
        <f t="shared" si="94"/>
        <v/>
      </c>
      <c r="M1327" s="53"/>
      <c r="Q1327" s="12"/>
      <c r="S1327"/>
    </row>
    <row r="1328" spans="1:19" x14ac:dyDescent="0.25">
      <c r="A1328" s="12" t="str">
        <f t="shared" si="92"/>
        <v/>
      </c>
      <c r="B1328" s="16"/>
      <c r="C1328" s="17"/>
      <c r="D1328" s="18"/>
      <c r="E1328" s="29"/>
      <c r="F1328" s="27"/>
      <c r="G1328" s="28"/>
      <c r="H1328" s="19"/>
      <c r="I1328" s="23"/>
      <c r="J1328" s="82">
        <f t="shared" si="93"/>
        <v>0</v>
      </c>
      <c r="K1328" s="30"/>
      <c r="L1328" s="83" t="str">
        <f t="shared" si="94"/>
        <v/>
      </c>
      <c r="M1328" s="23"/>
      <c r="Q1328" s="12"/>
      <c r="S1328"/>
    </row>
    <row r="1329" spans="1:19" x14ac:dyDescent="0.25">
      <c r="A1329" s="12" t="str">
        <f t="shared" si="92"/>
        <v/>
      </c>
      <c r="B1329" s="16"/>
      <c r="C1329" s="17"/>
      <c r="D1329" s="18"/>
      <c r="E1329" s="29"/>
      <c r="F1329" s="39"/>
      <c r="G1329" s="40"/>
      <c r="H1329" s="41"/>
      <c r="I1329" s="42"/>
      <c r="J1329" s="82">
        <f t="shared" si="93"/>
        <v>0</v>
      </c>
      <c r="K1329" s="43"/>
      <c r="L1329" s="83" t="str">
        <f t="shared" si="94"/>
        <v/>
      </c>
      <c r="M1329" s="53"/>
      <c r="Q1329" s="12"/>
      <c r="S1329"/>
    </row>
    <row r="1330" spans="1:19" x14ac:dyDescent="0.25">
      <c r="A1330" s="12" t="str">
        <f t="shared" si="92"/>
        <v/>
      </c>
      <c r="B1330" s="16"/>
      <c r="C1330" s="17"/>
      <c r="D1330" s="18"/>
      <c r="E1330" s="29"/>
      <c r="F1330" s="27"/>
      <c r="G1330" s="28"/>
      <c r="H1330" s="19"/>
      <c r="I1330" s="23"/>
      <c r="J1330" s="82">
        <f t="shared" si="93"/>
        <v>0</v>
      </c>
      <c r="K1330" s="30"/>
      <c r="L1330" s="83" t="str">
        <f t="shared" si="94"/>
        <v/>
      </c>
      <c r="M1330" s="23"/>
      <c r="Q1330" s="12"/>
      <c r="S1330"/>
    </row>
    <row r="1331" spans="1:19" x14ac:dyDescent="0.25">
      <c r="A1331" s="12" t="str">
        <f t="shared" si="92"/>
        <v/>
      </c>
      <c r="B1331" s="16"/>
      <c r="C1331" s="17"/>
      <c r="D1331" s="18"/>
      <c r="E1331" s="29"/>
      <c r="F1331" s="39"/>
      <c r="G1331" s="40"/>
      <c r="H1331" s="41"/>
      <c r="I1331" s="42"/>
      <c r="J1331" s="82">
        <f t="shared" si="93"/>
        <v>0</v>
      </c>
      <c r="K1331" s="43"/>
      <c r="L1331" s="83" t="str">
        <f t="shared" si="94"/>
        <v/>
      </c>
      <c r="M1331" s="53"/>
      <c r="Q1331" s="12"/>
      <c r="S1331"/>
    </row>
    <row r="1332" spans="1:19" x14ac:dyDescent="0.25">
      <c r="A1332" s="12" t="str">
        <f t="shared" ref="A1332:A1395" si="95">IFERROR(DATE(B1332,C1332,D1332),"")</f>
        <v/>
      </c>
      <c r="B1332" s="16"/>
      <c r="C1332" s="17"/>
      <c r="D1332" s="18"/>
      <c r="E1332" s="29"/>
      <c r="F1332" s="27"/>
      <c r="G1332" s="28"/>
      <c r="H1332" s="19"/>
      <c r="I1332" s="23"/>
      <c r="J1332" s="82">
        <f t="shared" ref="J1332:J1395" si="96">IF(E1332="entrada",H1332*I1332,H1332*I1332*-1)</f>
        <v>0</v>
      </c>
      <c r="K1332" s="30"/>
      <c r="L1332" s="83" t="str">
        <f t="shared" ref="L1332:L1395" si="97">IF(J1332=0,"",SUM(L1331,J1332))</f>
        <v/>
      </c>
      <c r="M1332" s="23"/>
      <c r="Q1332" s="12"/>
      <c r="S1332"/>
    </row>
    <row r="1333" spans="1:19" x14ac:dyDescent="0.25">
      <c r="A1333" s="12" t="str">
        <f t="shared" si="95"/>
        <v/>
      </c>
      <c r="B1333" s="16"/>
      <c r="C1333" s="17"/>
      <c r="D1333" s="18"/>
      <c r="E1333" s="29"/>
      <c r="F1333" s="39"/>
      <c r="G1333" s="40"/>
      <c r="H1333" s="41"/>
      <c r="I1333" s="42"/>
      <c r="J1333" s="82">
        <f t="shared" si="96"/>
        <v>0</v>
      </c>
      <c r="K1333" s="43"/>
      <c r="L1333" s="83" t="str">
        <f t="shared" si="97"/>
        <v/>
      </c>
      <c r="M1333" s="53"/>
      <c r="Q1333" s="12"/>
      <c r="S1333"/>
    </row>
    <row r="1334" spans="1:19" x14ac:dyDescent="0.25">
      <c r="A1334" s="12" t="str">
        <f t="shared" si="95"/>
        <v/>
      </c>
      <c r="B1334" s="16"/>
      <c r="C1334" s="17"/>
      <c r="D1334" s="18"/>
      <c r="E1334" s="29"/>
      <c r="F1334" s="27"/>
      <c r="G1334" s="28"/>
      <c r="H1334" s="19"/>
      <c r="I1334" s="23"/>
      <c r="J1334" s="82">
        <f t="shared" si="96"/>
        <v>0</v>
      </c>
      <c r="K1334" s="30"/>
      <c r="L1334" s="83" t="str">
        <f t="shared" si="97"/>
        <v/>
      </c>
      <c r="M1334" s="23"/>
      <c r="Q1334" s="12"/>
      <c r="S1334"/>
    </row>
    <row r="1335" spans="1:19" x14ac:dyDescent="0.25">
      <c r="A1335" s="12" t="str">
        <f t="shared" si="95"/>
        <v/>
      </c>
      <c r="B1335" s="16"/>
      <c r="C1335" s="17"/>
      <c r="D1335" s="18"/>
      <c r="E1335" s="29"/>
      <c r="F1335" s="39"/>
      <c r="G1335" s="40"/>
      <c r="H1335" s="41"/>
      <c r="I1335" s="42"/>
      <c r="J1335" s="82">
        <f t="shared" si="96"/>
        <v>0</v>
      </c>
      <c r="K1335" s="43"/>
      <c r="L1335" s="83" t="str">
        <f t="shared" si="97"/>
        <v/>
      </c>
      <c r="M1335" s="53"/>
      <c r="Q1335" s="12"/>
      <c r="S1335"/>
    </row>
    <row r="1336" spans="1:19" x14ac:dyDescent="0.25">
      <c r="A1336" s="12" t="str">
        <f t="shared" si="95"/>
        <v/>
      </c>
      <c r="B1336" s="16"/>
      <c r="C1336" s="17"/>
      <c r="D1336" s="18"/>
      <c r="E1336" s="29"/>
      <c r="F1336" s="27"/>
      <c r="G1336" s="28"/>
      <c r="H1336" s="19"/>
      <c r="I1336" s="23"/>
      <c r="J1336" s="82">
        <f t="shared" si="96"/>
        <v>0</v>
      </c>
      <c r="K1336" s="30"/>
      <c r="L1336" s="83" t="str">
        <f t="shared" si="97"/>
        <v/>
      </c>
      <c r="M1336" s="23"/>
      <c r="Q1336" s="12"/>
      <c r="S1336"/>
    </row>
    <row r="1337" spans="1:19" x14ac:dyDescent="0.25">
      <c r="A1337" s="12" t="str">
        <f t="shared" si="95"/>
        <v/>
      </c>
      <c r="B1337" s="16"/>
      <c r="C1337" s="17"/>
      <c r="D1337" s="18"/>
      <c r="E1337" s="29"/>
      <c r="F1337" s="39"/>
      <c r="G1337" s="40"/>
      <c r="H1337" s="41"/>
      <c r="I1337" s="42"/>
      <c r="J1337" s="82">
        <f t="shared" si="96"/>
        <v>0</v>
      </c>
      <c r="K1337" s="43"/>
      <c r="L1337" s="83" t="str">
        <f t="shared" si="97"/>
        <v/>
      </c>
      <c r="M1337" s="53"/>
      <c r="Q1337" s="12"/>
      <c r="S1337"/>
    </row>
    <row r="1338" spans="1:19" x14ac:dyDescent="0.25">
      <c r="A1338" s="12" t="str">
        <f t="shared" si="95"/>
        <v/>
      </c>
      <c r="B1338" s="16"/>
      <c r="C1338" s="17"/>
      <c r="D1338" s="18"/>
      <c r="E1338" s="29"/>
      <c r="F1338" s="27"/>
      <c r="G1338" s="28"/>
      <c r="H1338" s="19"/>
      <c r="I1338" s="23"/>
      <c r="J1338" s="82">
        <f t="shared" si="96"/>
        <v>0</v>
      </c>
      <c r="K1338" s="30"/>
      <c r="L1338" s="83" t="str">
        <f t="shared" si="97"/>
        <v/>
      </c>
      <c r="M1338" s="23"/>
      <c r="Q1338" s="12"/>
      <c r="S1338"/>
    </row>
    <row r="1339" spans="1:19" x14ac:dyDescent="0.25">
      <c r="A1339" s="12" t="str">
        <f t="shared" si="95"/>
        <v/>
      </c>
      <c r="B1339" s="16"/>
      <c r="C1339" s="17"/>
      <c r="D1339" s="18"/>
      <c r="E1339" s="29"/>
      <c r="F1339" s="39"/>
      <c r="G1339" s="40"/>
      <c r="H1339" s="41"/>
      <c r="I1339" s="42"/>
      <c r="J1339" s="82">
        <f t="shared" si="96"/>
        <v>0</v>
      </c>
      <c r="K1339" s="43"/>
      <c r="L1339" s="83" t="str">
        <f t="shared" si="97"/>
        <v/>
      </c>
      <c r="M1339" s="53"/>
      <c r="Q1339" s="12"/>
      <c r="S1339"/>
    </row>
    <row r="1340" spans="1:19" x14ac:dyDescent="0.25">
      <c r="A1340" s="12" t="str">
        <f t="shared" si="95"/>
        <v/>
      </c>
      <c r="B1340" s="16"/>
      <c r="C1340" s="17"/>
      <c r="D1340" s="18"/>
      <c r="E1340" s="29"/>
      <c r="F1340" s="27"/>
      <c r="G1340" s="28"/>
      <c r="H1340" s="19"/>
      <c r="I1340" s="23"/>
      <c r="J1340" s="82">
        <f t="shared" si="96"/>
        <v>0</v>
      </c>
      <c r="K1340" s="30"/>
      <c r="L1340" s="83" t="str">
        <f t="shared" si="97"/>
        <v/>
      </c>
      <c r="M1340" s="23"/>
      <c r="Q1340" s="12"/>
      <c r="S1340"/>
    </row>
    <row r="1341" spans="1:19" x14ac:dyDescent="0.25">
      <c r="A1341" s="12" t="str">
        <f t="shared" si="95"/>
        <v/>
      </c>
      <c r="B1341" s="16"/>
      <c r="C1341" s="17"/>
      <c r="D1341" s="18"/>
      <c r="E1341" s="29"/>
      <c r="F1341" s="39"/>
      <c r="G1341" s="40"/>
      <c r="H1341" s="41"/>
      <c r="I1341" s="42"/>
      <c r="J1341" s="82">
        <f t="shared" si="96"/>
        <v>0</v>
      </c>
      <c r="K1341" s="43"/>
      <c r="L1341" s="83" t="str">
        <f t="shared" si="97"/>
        <v/>
      </c>
      <c r="M1341" s="53"/>
      <c r="Q1341" s="12"/>
      <c r="S1341"/>
    </row>
    <row r="1342" spans="1:19" x14ac:dyDescent="0.25">
      <c r="A1342" s="12" t="str">
        <f t="shared" si="95"/>
        <v/>
      </c>
      <c r="B1342" s="16"/>
      <c r="C1342" s="17"/>
      <c r="D1342" s="18"/>
      <c r="E1342" s="29"/>
      <c r="F1342" s="27"/>
      <c r="G1342" s="28"/>
      <c r="H1342" s="19"/>
      <c r="I1342" s="23"/>
      <c r="J1342" s="82">
        <f t="shared" si="96"/>
        <v>0</v>
      </c>
      <c r="K1342" s="30"/>
      <c r="L1342" s="83" t="str">
        <f t="shared" si="97"/>
        <v/>
      </c>
      <c r="M1342" s="23"/>
      <c r="Q1342" s="12"/>
      <c r="S1342"/>
    </row>
    <row r="1343" spans="1:19" x14ac:dyDescent="0.25">
      <c r="A1343" s="12" t="str">
        <f t="shared" si="95"/>
        <v/>
      </c>
      <c r="B1343" s="16"/>
      <c r="C1343" s="17"/>
      <c r="D1343" s="18"/>
      <c r="E1343" s="29"/>
      <c r="F1343" s="39"/>
      <c r="G1343" s="40"/>
      <c r="H1343" s="41"/>
      <c r="I1343" s="42"/>
      <c r="J1343" s="82">
        <f t="shared" si="96"/>
        <v>0</v>
      </c>
      <c r="K1343" s="43"/>
      <c r="L1343" s="83" t="str">
        <f t="shared" si="97"/>
        <v/>
      </c>
      <c r="M1343" s="53"/>
      <c r="Q1343" s="12"/>
      <c r="S1343"/>
    </row>
    <row r="1344" spans="1:19" x14ac:dyDescent="0.25">
      <c r="A1344" s="12" t="str">
        <f t="shared" si="95"/>
        <v/>
      </c>
      <c r="B1344" s="16"/>
      <c r="C1344" s="17"/>
      <c r="D1344" s="18"/>
      <c r="E1344" s="29"/>
      <c r="F1344" s="27"/>
      <c r="G1344" s="28"/>
      <c r="H1344" s="19"/>
      <c r="I1344" s="23"/>
      <c r="J1344" s="82">
        <f t="shared" si="96"/>
        <v>0</v>
      </c>
      <c r="K1344" s="30"/>
      <c r="L1344" s="83" t="str">
        <f t="shared" si="97"/>
        <v/>
      </c>
      <c r="M1344" s="23"/>
      <c r="Q1344" s="12"/>
      <c r="S1344"/>
    </row>
    <row r="1345" spans="1:19" x14ac:dyDescent="0.25">
      <c r="A1345" s="12" t="str">
        <f t="shared" si="95"/>
        <v/>
      </c>
      <c r="B1345" s="16"/>
      <c r="C1345" s="17"/>
      <c r="D1345" s="18"/>
      <c r="E1345" s="29"/>
      <c r="F1345" s="39"/>
      <c r="G1345" s="40"/>
      <c r="H1345" s="41"/>
      <c r="I1345" s="42"/>
      <c r="J1345" s="82">
        <f t="shared" si="96"/>
        <v>0</v>
      </c>
      <c r="K1345" s="43"/>
      <c r="L1345" s="83" t="str">
        <f t="shared" si="97"/>
        <v/>
      </c>
      <c r="M1345" s="53"/>
      <c r="Q1345" s="12"/>
      <c r="S1345"/>
    </row>
    <row r="1346" spans="1:19" x14ac:dyDescent="0.25">
      <c r="A1346" s="12" t="str">
        <f t="shared" si="95"/>
        <v/>
      </c>
      <c r="B1346" s="16"/>
      <c r="C1346" s="17"/>
      <c r="D1346" s="18"/>
      <c r="E1346" s="29"/>
      <c r="F1346" s="27"/>
      <c r="G1346" s="28"/>
      <c r="H1346" s="19"/>
      <c r="I1346" s="23"/>
      <c r="J1346" s="82">
        <f t="shared" si="96"/>
        <v>0</v>
      </c>
      <c r="K1346" s="30"/>
      <c r="L1346" s="83" t="str">
        <f t="shared" si="97"/>
        <v/>
      </c>
      <c r="M1346" s="23"/>
      <c r="Q1346" s="12"/>
      <c r="S1346"/>
    </row>
    <row r="1347" spans="1:19" x14ac:dyDescent="0.25">
      <c r="A1347" s="12" t="str">
        <f t="shared" si="95"/>
        <v/>
      </c>
      <c r="B1347" s="16"/>
      <c r="C1347" s="17"/>
      <c r="D1347" s="18"/>
      <c r="E1347" s="29"/>
      <c r="F1347" s="39"/>
      <c r="G1347" s="40"/>
      <c r="H1347" s="41"/>
      <c r="I1347" s="42"/>
      <c r="J1347" s="82">
        <f t="shared" si="96"/>
        <v>0</v>
      </c>
      <c r="K1347" s="43"/>
      <c r="L1347" s="83" t="str">
        <f t="shared" si="97"/>
        <v/>
      </c>
      <c r="M1347" s="53"/>
      <c r="Q1347" s="12"/>
      <c r="S1347"/>
    </row>
    <row r="1348" spans="1:19" x14ac:dyDescent="0.25">
      <c r="A1348" s="12" t="str">
        <f t="shared" si="95"/>
        <v/>
      </c>
      <c r="B1348" s="16"/>
      <c r="C1348" s="17"/>
      <c r="D1348" s="18"/>
      <c r="E1348" s="29"/>
      <c r="F1348" s="27"/>
      <c r="G1348" s="28"/>
      <c r="H1348" s="19"/>
      <c r="I1348" s="23"/>
      <c r="J1348" s="82">
        <f t="shared" si="96"/>
        <v>0</v>
      </c>
      <c r="K1348" s="30"/>
      <c r="L1348" s="83" t="str">
        <f t="shared" si="97"/>
        <v/>
      </c>
      <c r="M1348" s="23"/>
      <c r="Q1348" s="12"/>
      <c r="S1348"/>
    </row>
    <row r="1349" spans="1:19" x14ac:dyDescent="0.25">
      <c r="A1349" s="12" t="str">
        <f t="shared" si="95"/>
        <v/>
      </c>
      <c r="B1349" s="16"/>
      <c r="C1349" s="17"/>
      <c r="D1349" s="18"/>
      <c r="E1349" s="29"/>
      <c r="F1349" s="39"/>
      <c r="G1349" s="40"/>
      <c r="H1349" s="41"/>
      <c r="I1349" s="42"/>
      <c r="J1349" s="82">
        <f t="shared" si="96"/>
        <v>0</v>
      </c>
      <c r="K1349" s="43"/>
      <c r="L1349" s="83" t="str">
        <f t="shared" si="97"/>
        <v/>
      </c>
      <c r="M1349" s="53"/>
      <c r="Q1349" s="12"/>
      <c r="S1349"/>
    </row>
    <row r="1350" spans="1:19" x14ac:dyDescent="0.25">
      <c r="A1350" s="12" t="str">
        <f t="shared" si="95"/>
        <v/>
      </c>
      <c r="B1350" s="16"/>
      <c r="C1350" s="17"/>
      <c r="D1350" s="18"/>
      <c r="E1350" s="29"/>
      <c r="F1350" s="27"/>
      <c r="G1350" s="28"/>
      <c r="H1350" s="19"/>
      <c r="I1350" s="23"/>
      <c r="J1350" s="82">
        <f t="shared" si="96"/>
        <v>0</v>
      </c>
      <c r="K1350" s="30"/>
      <c r="L1350" s="83" t="str">
        <f t="shared" si="97"/>
        <v/>
      </c>
      <c r="M1350" s="23"/>
      <c r="Q1350" s="12"/>
      <c r="S1350"/>
    </row>
    <row r="1351" spans="1:19" x14ac:dyDescent="0.25">
      <c r="A1351" s="12" t="str">
        <f t="shared" si="95"/>
        <v/>
      </c>
      <c r="B1351" s="16"/>
      <c r="C1351" s="17"/>
      <c r="D1351" s="18"/>
      <c r="E1351" s="29"/>
      <c r="F1351" s="39"/>
      <c r="G1351" s="40"/>
      <c r="H1351" s="41"/>
      <c r="I1351" s="42"/>
      <c r="J1351" s="82">
        <f t="shared" si="96"/>
        <v>0</v>
      </c>
      <c r="K1351" s="43"/>
      <c r="L1351" s="83" t="str">
        <f t="shared" si="97"/>
        <v/>
      </c>
      <c r="M1351" s="53"/>
      <c r="Q1351" s="12"/>
      <c r="S1351"/>
    </row>
    <row r="1352" spans="1:19" x14ac:dyDescent="0.25">
      <c r="A1352" s="12" t="str">
        <f t="shared" si="95"/>
        <v/>
      </c>
      <c r="B1352" s="16"/>
      <c r="C1352" s="17"/>
      <c r="D1352" s="18"/>
      <c r="E1352" s="29"/>
      <c r="F1352" s="27"/>
      <c r="G1352" s="28"/>
      <c r="H1352" s="19"/>
      <c r="I1352" s="23"/>
      <c r="J1352" s="82">
        <f t="shared" si="96"/>
        <v>0</v>
      </c>
      <c r="K1352" s="30"/>
      <c r="L1352" s="83" t="str">
        <f t="shared" si="97"/>
        <v/>
      </c>
      <c r="M1352" s="23"/>
      <c r="Q1352" s="12"/>
      <c r="S1352"/>
    </row>
    <row r="1353" spans="1:19" x14ac:dyDescent="0.25">
      <c r="A1353" s="12" t="str">
        <f t="shared" si="95"/>
        <v/>
      </c>
      <c r="B1353" s="16"/>
      <c r="C1353" s="17"/>
      <c r="D1353" s="18"/>
      <c r="E1353" s="29"/>
      <c r="F1353" s="39"/>
      <c r="G1353" s="40"/>
      <c r="H1353" s="41"/>
      <c r="I1353" s="42"/>
      <c r="J1353" s="82">
        <f t="shared" si="96"/>
        <v>0</v>
      </c>
      <c r="K1353" s="43"/>
      <c r="L1353" s="83" t="str">
        <f t="shared" si="97"/>
        <v/>
      </c>
      <c r="M1353" s="53"/>
      <c r="Q1353" s="12"/>
      <c r="S1353"/>
    </row>
    <row r="1354" spans="1:19" x14ac:dyDescent="0.25">
      <c r="A1354" s="12" t="str">
        <f t="shared" si="95"/>
        <v/>
      </c>
      <c r="B1354" s="16"/>
      <c r="C1354" s="17"/>
      <c r="D1354" s="18"/>
      <c r="E1354" s="29"/>
      <c r="F1354" s="27"/>
      <c r="G1354" s="28"/>
      <c r="H1354" s="19"/>
      <c r="I1354" s="23"/>
      <c r="J1354" s="82">
        <f t="shared" si="96"/>
        <v>0</v>
      </c>
      <c r="K1354" s="30"/>
      <c r="L1354" s="83" t="str">
        <f t="shared" si="97"/>
        <v/>
      </c>
      <c r="M1354" s="23"/>
      <c r="Q1354" s="12"/>
      <c r="S1354"/>
    </row>
    <row r="1355" spans="1:19" x14ac:dyDescent="0.25">
      <c r="A1355" s="12" t="str">
        <f t="shared" si="95"/>
        <v/>
      </c>
      <c r="B1355" s="16"/>
      <c r="C1355" s="17"/>
      <c r="D1355" s="18"/>
      <c r="E1355" s="29"/>
      <c r="F1355" s="39"/>
      <c r="G1355" s="40"/>
      <c r="H1355" s="41"/>
      <c r="I1355" s="42"/>
      <c r="J1355" s="82">
        <f t="shared" si="96"/>
        <v>0</v>
      </c>
      <c r="K1355" s="43"/>
      <c r="L1355" s="83" t="str">
        <f t="shared" si="97"/>
        <v/>
      </c>
      <c r="M1355" s="53"/>
      <c r="Q1355" s="12"/>
      <c r="S1355"/>
    </row>
    <row r="1356" spans="1:19" x14ac:dyDescent="0.25">
      <c r="A1356" s="12" t="str">
        <f t="shared" si="95"/>
        <v/>
      </c>
      <c r="B1356" s="16"/>
      <c r="C1356" s="17"/>
      <c r="D1356" s="18"/>
      <c r="E1356" s="29"/>
      <c r="F1356" s="27"/>
      <c r="G1356" s="28"/>
      <c r="H1356" s="19"/>
      <c r="I1356" s="23"/>
      <c r="J1356" s="82">
        <f t="shared" si="96"/>
        <v>0</v>
      </c>
      <c r="K1356" s="30"/>
      <c r="L1356" s="83" t="str">
        <f t="shared" si="97"/>
        <v/>
      </c>
      <c r="M1356" s="23"/>
      <c r="Q1356" s="12"/>
      <c r="S1356"/>
    </row>
    <row r="1357" spans="1:19" x14ac:dyDescent="0.25">
      <c r="A1357" s="12" t="str">
        <f t="shared" si="95"/>
        <v/>
      </c>
      <c r="B1357" s="16"/>
      <c r="C1357" s="17"/>
      <c r="D1357" s="18"/>
      <c r="E1357" s="29"/>
      <c r="F1357" s="39"/>
      <c r="G1357" s="40"/>
      <c r="H1357" s="41"/>
      <c r="I1357" s="42"/>
      <c r="J1357" s="82">
        <f t="shared" si="96"/>
        <v>0</v>
      </c>
      <c r="K1357" s="43"/>
      <c r="L1357" s="83" t="str">
        <f t="shared" si="97"/>
        <v/>
      </c>
      <c r="M1357" s="53"/>
      <c r="Q1357" s="12"/>
      <c r="S1357"/>
    </row>
    <row r="1358" spans="1:19" x14ac:dyDescent="0.25">
      <c r="A1358" s="12" t="str">
        <f t="shared" si="95"/>
        <v/>
      </c>
      <c r="B1358" s="16"/>
      <c r="C1358" s="17"/>
      <c r="D1358" s="18"/>
      <c r="E1358" s="29"/>
      <c r="F1358" s="27"/>
      <c r="G1358" s="28"/>
      <c r="H1358" s="19"/>
      <c r="I1358" s="23"/>
      <c r="J1358" s="82">
        <f t="shared" si="96"/>
        <v>0</v>
      </c>
      <c r="K1358" s="30"/>
      <c r="L1358" s="83" t="str">
        <f t="shared" si="97"/>
        <v/>
      </c>
      <c r="M1358" s="23"/>
      <c r="Q1358" s="12"/>
      <c r="S1358"/>
    </row>
    <row r="1359" spans="1:19" x14ac:dyDescent="0.25">
      <c r="A1359" s="12" t="str">
        <f t="shared" si="95"/>
        <v/>
      </c>
      <c r="B1359" s="16"/>
      <c r="C1359" s="17"/>
      <c r="D1359" s="18"/>
      <c r="E1359" s="29"/>
      <c r="F1359" s="39"/>
      <c r="G1359" s="40"/>
      <c r="H1359" s="41"/>
      <c r="I1359" s="42"/>
      <c r="J1359" s="82">
        <f t="shared" si="96"/>
        <v>0</v>
      </c>
      <c r="K1359" s="43"/>
      <c r="L1359" s="83" t="str">
        <f t="shared" si="97"/>
        <v/>
      </c>
      <c r="M1359" s="53"/>
      <c r="Q1359" s="12"/>
      <c r="S1359"/>
    </row>
    <row r="1360" spans="1:19" x14ac:dyDescent="0.25">
      <c r="A1360" s="12" t="str">
        <f t="shared" si="95"/>
        <v/>
      </c>
      <c r="B1360" s="16"/>
      <c r="C1360" s="17"/>
      <c r="D1360" s="18"/>
      <c r="E1360" s="29"/>
      <c r="F1360" s="27"/>
      <c r="G1360" s="28"/>
      <c r="H1360" s="19"/>
      <c r="I1360" s="23"/>
      <c r="J1360" s="82">
        <f t="shared" si="96"/>
        <v>0</v>
      </c>
      <c r="K1360" s="30"/>
      <c r="L1360" s="83" t="str">
        <f t="shared" si="97"/>
        <v/>
      </c>
      <c r="M1360" s="23"/>
      <c r="Q1360" s="12"/>
      <c r="S1360"/>
    </row>
    <row r="1361" spans="1:19" x14ac:dyDescent="0.25">
      <c r="A1361" s="12" t="str">
        <f t="shared" si="95"/>
        <v/>
      </c>
      <c r="B1361" s="16"/>
      <c r="C1361" s="17"/>
      <c r="D1361" s="18"/>
      <c r="E1361" s="29"/>
      <c r="F1361" s="39"/>
      <c r="G1361" s="40"/>
      <c r="H1361" s="41"/>
      <c r="I1361" s="42"/>
      <c r="J1361" s="82">
        <f t="shared" si="96"/>
        <v>0</v>
      </c>
      <c r="K1361" s="43"/>
      <c r="L1361" s="83" t="str">
        <f t="shared" si="97"/>
        <v/>
      </c>
      <c r="M1361" s="53"/>
      <c r="Q1361" s="12"/>
      <c r="S1361"/>
    </row>
    <row r="1362" spans="1:19" x14ac:dyDescent="0.25">
      <c r="A1362" s="12" t="str">
        <f t="shared" si="95"/>
        <v/>
      </c>
      <c r="B1362" s="16"/>
      <c r="C1362" s="17"/>
      <c r="D1362" s="18"/>
      <c r="E1362" s="29"/>
      <c r="F1362" s="27"/>
      <c r="G1362" s="28"/>
      <c r="H1362" s="19"/>
      <c r="I1362" s="23"/>
      <c r="J1362" s="82">
        <f t="shared" si="96"/>
        <v>0</v>
      </c>
      <c r="K1362" s="30"/>
      <c r="L1362" s="83" t="str">
        <f t="shared" si="97"/>
        <v/>
      </c>
      <c r="M1362" s="23"/>
      <c r="Q1362" s="12"/>
      <c r="S1362"/>
    </row>
    <row r="1363" spans="1:19" x14ac:dyDescent="0.25">
      <c r="A1363" s="12" t="str">
        <f t="shared" si="95"/>
        <v/>
      </c>
      <c r="B1363" s="16"/>
      <c r="C1363" s="17"/>
      <c r="D1363" s="18"/>
      <c r="E1363" s="29"/>
      <c r="F1363" s="39"/>
      <c r="G1363" s="40"/>
      <c r="H1363" s="41"/>
      <c r="I1363" s="42"/>
      <c r="J1363" s="82">
        <f t="shared" si="96"/>
        <v>0</v>
      </c>
      <c r="K1363" s="43"/>
      <c r="L1363" s="83" t="str">
        <f t="shared" si="97"/>
        <v/>
      </c>
      <c r="M1363" s="53"/>
      <c r="Q1363" s="12"/>
      <c r="S1363"/>
    </row>
    <row r="1364" spans="1:19" x14ac:dyDescent="0.25">
      <c r="A1364" s="12" t="str">
        <f t="shared" si="95"/>
        <v/>
      </c>
      <c r="B1364" s="16"/>
      <c r="C1364" s="17"/>
      <c r="D1364" s="18"/>
      <c r="E1364" s="29"/>
      <c r="F1364" s="27"/>
      <c r="G1364" s="28"/>
      <c r="H1364" s="19"/>
      <c r="I1364" s="23"/>
      <c r="J1364" s="82">
        <f t="shared" si="96"/>
        <v>0</v>
      </c>
      <c r="K1364" s="30"/>
      <c r="L1364" s="83" t="str">
        <f t="shared" si="97"/>
        <v/>
      </c>
      <c r="M1364" s="23"/>
      <c r="Q1364" s="12"/>
      <c r="S1364"/>
    </row>
    <row r="1365" spans="1:19" x14ac:dyDescent="0.25">
      <c r="A1365" s="12" t="str">
        <f t="shared" si="95"/>
        <v/>
      </c>
      <c r="B1365" s="16"/>
      <c r="C1365" s="17"/>
      <c r="D1365" s="18"/>
      <c r="E1365" s="29"/>
      <c r="F1365" s="39"/>
      <c r="G1365" s="40"/>
      <c r="H1365" s="41"/>
      <c r="I1365" s="42"/>
      <c r="J1365" s="82">
        <f t="shared" si="96"/>
        <v>0</v>
      </c>
      <c r="K1365" s="43"/>
      <c r="L1365" s="83" t="str">
        <f t="shared" si="97"/>
        <v/>
      </c>
      <c r="M1365" s="53"/>
      <c r="Q1365" s="12"/>
      <c r="S1365"/>
    </row>
    <row r="1366" spans="1:19" x14ac:dyDescent="0.25">
      <c r="A1366" s="12" t="str">
        <f t="shared" si="95"/>
        <v/>
      </c>
      <c r="B1366" s="16"/>
      <c r="C1366" s="17"/>
      <c r="D1366" s="18"/>
      <c r="E1366" s="29"/>
      <c r="F1366" s="27"/>
      <c r="G1366" s="28"/>
      <c r="H1366" s="19"/>
      <c r="I1366" s="23"/>
      <c r="J1366" s="82">
        <f t="shared" si="96"/>
        <v>0</v>
      </c>
      <c r="K1366" s="30"/>
      <c r="L1366" s="83" t="str">
        <f t="shared" si="97"/>
        <v/>
      </c>
      <c r="M1366" s="23"/>
      <c r="Q1366" s="12"/>
      <c r="S1366"/>
    </row>
    <row r="1367" spans="1:19" x14ac:dyDescent="0.25">
      <c r="A1367" s="12" t="str">
        <f t="shared" si="95"/>
        <v/>
      </c>
      <c r="B1367" s="16"/>
      <c r="C1367" s="17"/>
      <c r="D1367" s="18"/>
      <c r="E1367" s="29"/>
      <c r="F1367" s="39"/>
      <c r="G1367" s="40"/>
      <c r="H1367" s="41"/>
      <c r="I1367" s="42"/>
      <c r="J1367" s="82">
        <f t="shared" si="96"/>
        <v>0</v>
      </c>
      <c r="K1367" s="43"/>
      <c r="L1367" s="83" t="str">
        <f t="shared" si="97"/>
        <v/>
      </c>
      <c r="M1367" s="53"/>
      <c r="Q1367" s="12"/>
      <c r="S1367"/>
    </row>
    <row r="1368" spans="1:19" x14ac:dyDescent="0.25">
      <c r="A1368" s="12" t="str">
        <f t="shared" si="95"/>
        <v/>
      </c>
      <c r="B1368" s="16"/>
      <c r="C1368" s="17"/>
      <c r="D1368" s="18"/>
      <c r="E1368" s="29"/>
      <c r="F1368" s="27"/>
      <c r="G1368" s="28"/>
      <c r="H1368" s="19"/>
      <c r="I1368" s="23"/>
      <c r="J1368" s="82">
        <f t="shared" si="96"/>
        <v>0</v>
      </c>
      <c r="K1368" s="30"/>
      <c r="L1368" s="83" t="str">
        <f t="shared" si="97"/>
        <v/>
      </c>
      <c r="M1368" s="23"/>
      <c r="Q1368" s="12"/>
      <c r="S1368"/>
    </row>
    <row r="1369" spans="1:19" x14ac:dyDescent="0.25">
      <c r="A1369" s="12" t="str">
        <f t="shared" si="95"/>
        <v/>
      </c>
      <c r="B1369" s="16"/>
      <c r="C1369" s="17"/>
      <c r="D1369" s="18"/>
      <c r="E1369" s="29"/>
      <c r="F1369" s="39"/>
      <c r="G1369" s="40"/>
      <c r="H1369" s="41"/>
      <c r="I1369" s="42"/>
      <c r="J1369" s="82">
        <f t="shared" si="96"/>
        <v>0</v>
      </c>
      <c r="K1369" s="43"/>
      <c r="L1369" s="83" t="str">
        <f t="shared" si="97"/>
        <v/>
      </c>
      <c r="M1369" s="53"/>
      <c r="Q1369" s="12"/>
      <c r="S1369"/>
    </row>
    <row r="1370" spans="1:19" x14ac:dyDescent="0.25">
      <c r="A1370" s="12" t="str">
        <f t="shared" si="95"/>
        <v/>
      </c>
      <c r="B1370" s="16"/>
      <c r="C1370" s="17"/>
      <c r="D1370" s="18"/>
      <c r="E1370" s="29"/>
      <c r="F1370" s="27"/>
      <c r="G1370" s="28"/>
      <c r="H1370" s="19"/>
      <c r="I1370" s="23"/>
      <c r="J1370" s="82">
        <f t="shared" si="96"/>
        <v>0</v>
      </c>
      <c r="K1370" s="30"/>
      <c r="L1370" s="83" t="str">
        <f t="shared" si="97"/>
        <v/>
      </c>
      <c r="M1370" s="23"/>
      <c r="Q1370" s="12"/>
      <c r="S1370"/>
    </row>
    <row r="1371" spans="1:19" x14ac:dyDescent="0.25">
      <c r="A1371" s="12" t="str">
        <f t="shared" si="95"/>
        <v/>
      </c>
      <c r="B1371" s="16"/>
      <c r="C1371" s="17"/>
      <c r="D1371" s="18"/>
      <c r="E1371" s="29"/>
      <c r="F1371" s="39"/>
      <c r="G1371" s="40"/>
      <c r="H1371" s="41"/>
      <c r="I1371" s="42"/>
      <c r="J1371" s="82">
        <f t="shared" si="96"/>
        <v>0</v>
      </c>
      <c r="K1371" s="43"/>
      <c r="L1371" s="83" t="str">
        <f t="shared" si="97"/>
        <v/>
      </c>
      <c r="M1371" s="53"/>
      <c r="Q1371" s="12"/>
      <c r="S1371"/>
    </row>
    <row r="1372" spans="1:19" x14ac:dyDescent="0.25">
      <c r="A1372" s="12" t="str">
        <f t="shared" si="95"/>
        <v/>
      </c>
      <c r="B1372" s="16"/>
      <c r="C1372" s="17"/>
      <c r="D1372" s="18"/>
      <c r="E1372" s="29"/>
      <c r="F1372" s="27"/>
      <c r="G1372" s="28"/>
      <c r="H1372" s="19"/>
      <c r="I1372" s="23"/>
      <c r="J1372" s="82">
        <f t="shared" si="96"/>
        <v>0</v>
      </c>
      <c r="K1372" s="30"/>
      <c r="L1372" s="83" t="str">
        <f t="shared" si="97"/>
        <v/>
      </c>
      <c r="M1372" s="23"/>
      <c r="Q1372" s="12"/>
      <c r="S1372"/>
    </row>
    <row r="1373" spans="1:19" x14ac:dyDescent="0.25">
      <c r="A1373" s="12" t="str">
        <f t="shared" si="95"/>
        <v/>
      </c>
      <c r="B1373" s="16"/>
      <c r="C1373" s="17"/>
      <c r="D1373" s="18"/>
      <c r="E1373" s="29"/>
      <c r="F1373" s="39"/>
      <c r="G1373" s="40"/>
      <c r="H1373" s="41"/>
      <c r="I1373" s="42"/>
      <c r="J1373" s="82">
        <f t="shared" si="96"/>
        <v>0</v>
      </c>
      <c r="K1373" s="43"/>
      <c r="L1373" s="83" t="str">
        <f t="shared" si="97"/>
        <v/>
      </c>
      <c r="M1373" s="53"/>
      <c r="Q1373" s="12"/>
      <c r="S1373"/>
    </row>
    <row r="1374" spans="1:19" x14ac:dyDescent="0.25">
      <c r="A1374" s="12" t="str">
        <f t="shared" si="95"/>
        <v/>
      </c>
      <c r="B1374" s="16"/>
      <c r="C1374" s="17"/>
      <c r="D1374" s="18"/>
      <c r="E1374" s="29"/>
      <c r="F1374" s="27"/>
      <c r="G1374" s="28"/>
      <c r="H1374" s="19"/>
      <c r="I1374" s="23"/>
      <c r="J1374" s="82">
        <f t="shared" si="96"/>
        <v>0</v>
      </c>
      <c r="K1374" s="30"/>
      <c r="L1374" s="83" t="str">
        <f t="shared" si="97"/>
        <v/>
      </c>
      <c r="M1374" s="23"/>
      <c r="Q1374" s="12"/>
      <c r="S1374"/>
    </row>
    <row r="1375" spans="1:19" x14ac:dyDescent="0.25">
      <c r="A1375" s="12" t="str">
        <f t="shared" si="95"/>
        <v/>
      </c>
      <c r="B1375" s="16"/>
      <c r="C1375" s="17"/>
      <c r="D1375" s="18"/>
      <c r="E1375" s="29"/>
      <c r="F1375" s="39"/>
      <c r="G1375" s="40"/>
      <c r="H1375" s="41"/>
      <c r="I1375" s="42"/>
      <c r="J1375" s="82">
        <f t="shared" si="96"/>
        <v>0</v>
      </c>
      <c r="K1375" s="43"/>
      <c r="L1375" s="83" t="str">
        <f t="shared" si="97"/>
        <v/>
      </c>
      <c r="M1375" s="53"/>
      <c r="Q1375" s="12"/>
      <c r="S1375"/>
    </row>
    <row r="1376" spans="1:19" x14ac:dyDescent="0.25">
      <c r="A1376" s="12" t="str">
        <f t="shared" si="95"/>
        <v/>
      </c>
      <c r="B1376" s="16"/>
      <c r="C1376" s="17"/>
      <c r="D1376" s="18"/>
      <c r="E1376" s="29"/>
      <c r="F1376" s="27"/>
      <c r="G1376" s="28"/>
      <c r="H1376" s="19"/>
      <c r="I1376" s="23"/>
      <c r="J1376" s="82">
        <f t="shared" si="96"/>
        <v>0</v>
      </c>
      <c r="K1376" s="30"/>
      <c r="L1376" s="83" t="str">
        <f t="shared" si="97"/>
        <v/>
      </c>
      <c r="M1376" s="23"/>
      <c r="Q1376" s="12"/>
      <c r="S1376"/>
    </row>
    <row r="1377" spans="1:19" x14ac:dyDescent="0.25">
      <c r="A1377" s="12" t="str">
        <f t="shared" si="95"/>
        <v/>
      </c>
      <c r="B1377" s="16"/>
      <c r="C1377" s="17"/>
      <c r="D1377" s="18"/>
      <c r="E1377" s="29"/>
      <c r="F1377" s="39"/>
      <c r="G1377" s="40"/>
      <c r="H1377" s="41"/>
      <c r="I1377" s="42"/>
      <c r="J1377" s="82">
        <f t="shared" si="96"/>
        <v>0</v>
      </c>
      <c r="K1377" s="43"/>
      <c r="L1377" s="83" t="str">
        <f t="shared" si="97"/>
        <v/>
      </c>
      <c r="M1377" s="53"/>
      <c r="Q1377" s="12"/>
      <c r="S1377"/>
    </row>
    <row r="1378" spans="1:19" x14ac:dyDescent="0.25">
      <c r="A1378" s="12" t="str">
        <f t="shared" si="95"/>
        <v/>
      </c>
      <c r="B1378" s="16"/>
      <c r="C1378" s="17"/>
      <c r="D1378" s="18"/>
      <c r="E1378" s="29"/>
      <c r="F1378" s="27"/>
      <c r="G1378" s="28"/>
      <c r="H1378" s="19"/>
      <c r="I1378" s="23"/>
      <c r="J1378" s="82">
        <f t="shared" si="96"/>
        <v>0</v>
      </c>
      <c r="K1378" s="30"/>
      <c r="L1378" s="83" t="str">
        <f t="shared" si="97"/>
        <v/>
      </c>
      <c r="M1378" s="23"/>
      <c r="Q1378" s="12"/>
      <c r="S1378"/>
    </row>
    <row r="1379" spans="1:19" x14ac:dyDescent="0.25">
      <c r="A1379" s="12" t="str">
        <f t="shared" si="95"/>
        <v/>
      </c>
      <c r="B1379" s="16"/>
      <c r="C1379" s="17"/>
      <c r="D1379" s="18"/>
      <c r="E1379" s="29"/>
      <c r="F1379" s="39"/>
      <c r="G1379" s="40"/>
      <c r="H1379" s="41"/>
      <c r="I1379" s="42"/>
      <c r="J1379" s="82">
        <f t="shared" si="96"/>
        <v>0</v>
      </c>
      <c r="K1379" s="43"/>
      <c r="L1379" s="83" t="str">
        <f t="shared" si="97"/>
        <v/>
      </c>
      <c r="M1379" s="53"/>
      <c r="Q1379" s="12"/>
      <c r="S1379"/>
    </row>
    <row r="1380" spans="1:19" x14ac:dyDescent="0.25">
      <c r="A1380" s="12" t="str">
        <f t="shared" si="95"/>
        <v/>
      </c>
      <c r="B1380" s="16"/>
      <c r="C1380" s="17"/>
      <c r="D1380" s="18"/>
      <c r="E1380" s="29"/>
      <c r="F1380" s="27"/>
      <c r="G1380" s="28"/>
      <c r="H1380" s="19"/>
      <c r="I1380" s="23"/>
      <c r="J1380" s="82">
        <f t="shared" si="96"/>
        <v>0</v>
      </c>
      <c r="K1380" s="30"/>
      <c r="L1380" s="83" t="str">
        <f t="shared" si="97"/>
        <v/>
      </c>
      <c r="M1380" s="23"/>
      <c r="Q1380" s="12"/>
      <c r="S1380"/>
    </row>
    <row r="1381" spans="1:19" x14ac:dyDescent="0.25">
      <c r="A1381" s="12" t="str">
        <f t="shared" si="95"/>
        <v/>
      </c>
      <c r="B1381" s="16"/>
      <c r="C1381" s="17"/>
      <c r="D1381" s="18"/>
      <c r="E1381" s="29"/>
      <c r="F1381" s="39"/>
      <c r="G1381" s="40"/>
      <c r="H1381" s="41"/>
      <c r="I1381" s="42"/>
      <c r="J1381" s="82">
        <f t="shared" si="96"/>
        <v>0</v>
      </c>
      <c r="K1381" s="43"/>
      <c r="L1381" s="83" t="str">
        <f t="shared" si="97"/>
        <v/>
      </c>
      <c r="M1381" s="53"/>
      <c r="Q1381" s="12"/>
      <c r="S1381"/>
    </row>
    <row r="1382" spans="1:19" x14ac:dyDescent="0.25">
      <c r="A1382" s="12" t="str">
        <f t="shared" si="95"/>
        <v/>
      </c>
      <c r="B1382" s="16"/>
      <c r="C1382" s="17"/>
      <c r="D1382" s="18"/>
      <c r="E1382" s="29"/>
      <c r="F1382" s="27"/>
      <c r="G1382" s="28"/>
      <c r="H1382" s="19"/>
      <c r="I1382" s="23"/>
      <c r="J1382" s="82">
        <f t="shared" si="96"/>
        <v>0</v>
      </c>
      <c r="K1382" s="30"/>
      <c r="L1382" s="83" t="str">
        <f t="shared" si="97"/>
        <v/>
      </c>
      <c r="M1382" s="23"/>
      <c r="Q1382" s="12"/>
      <c r="S1382"/>
    </row>
    <row r="1383" spans="1:19" x14ac:dyDescent="0.25">
      <c r="A1383" s="12" t="str">
        <f t="shared" si="95"/>
        <v/>
      </c>
      <c r="B1383" s="16"/>
      <c r="C1383" s="17"/>
      <c r="D1383" s="18"/>
      <c r="E1383" s="29"/>
      <c r="F1383" s="39"/>
      <c r="G1383" s="40"/>
      <c r="H1383" s="41"/>
      <c r="I1383" s="42"/>
      <c r="J1383" s="82">
        <f t="shared" si="96"/>
        <v>0</v>
      </c>
      <c r="K1383" s="43"/>
      <c r="L1383" s="83" t="str">
        <f t="shared" si="97"/>
        <v/>
      </c>
      <c r="M1383" s="53"/>
      <c r="Q1383" s="12"/>
      <c r="S1383"/>
    </row>
    <row r="1384" spans="1:19" x14ac:dyDescent="0.25">
      <c r="A1384" s="12" t="str">
        <f t="shared" si="95"/>
        <v/>
      </c>
      <c r="B1384" s="16"/>
      <c r="C1384" s="17"/>
      <c r="D1384" s="18"/>
      <c r="E1384" s="29"/>
      <c r="F1384" s="27"/>
      <c r="G1384" s="28"/>
      <c r="H1384" s="19"/>
      <c r="I1384" s="23"/>
      <c r="J1384" s="82">
        <f t="shared" si="96"/>
        <v>0</v>
      </c>
      <c r="K1384" s="30"/>
      <c r="L1384" s="83" t="str">
        <f t="shared" si="97"/>
        <v/>
      </c>
      <c r="M1384" s="23"/>
      <c r="Q1384" s="12"/>
      <c r="S1384"/>
    </row>
    <row r="1385" spans="1:19" x14ac:dyDescent="0.25">
      <c r="A1385" s="12" t="str">
        <f t="shared" si="95"/>
        <v/>
      </c>
      <c r="B1385" s="16"/>
      <c r="C1385" s="17"/>
      <c r="D1385" s="18"/>
      <c r="E1385" s="29"/>
      <c r="F1385" s="39"/>
      <c r="G1385" s="40"/>
      <c r="H1385" s="41"/>
      <c r="I1385" s="42"/>
      <c r="J1385" s="82">
        <f t="shared" si="96"/>
        <v>0</v>
      </c>
      <c r="K1385" s="43"/>
      <c r="L1385" s="83" t="str">
        <f t="shared" si="97"/>
        <v/>
      </c>
      <c r="M1385" s="53"/>
      <c r="Q1385" s="12"/>
      <c r="S1385"/>
    </row>
    <row r="1386" spans="1:19" x14ac:dyDescent="0.25">
      <c r="A1386" s="12" t="str">
        <f t="shared" si="95"/>
        <v/>
      </c>
      <c r="B1386" s="16"/>
      <c r="C1386" s="17"/>
      <c r="D1386" s="18"/>
      <c r="E1386" s="29"/>
      <c r="F1386" s="27"/>
      <c r="G1386" s="28"/>
      <c r="H1386" s="19"/>
      <c r="I1386" s="23"/>
      <c r="J1386" s="82">
        <f t="shared" si="96"/>
        <v>0</v>
      </c>
      <c r="K1386" s="30"/>
      <c r="L1386" s="83" t="str">
        <f t="shared" si="97"/>
        <v/>
      </c>
      <c r="M1386" s="23"/>
      <c r="Q1386" s="12"/>
      <c r="S1386"/>
    </row>
    <row r="1387" spans="1:19" x14ac:dyDescent="0.25">
      <c r="A1387" s="12" t="str">
        <f t="shared" si="95"/>
        <v/>
      </c>
      <c r="B1387" s="16"/>
      <c r="C1387" s="17"/>
      <c r="D1387" s="18"/>
      <c r="E1387" s="29"/>
      <c r="F1387" s="39"/>
      <c r="G1387" s="40"/>
      <c r="H1387" s="41"/>
      <c r="I1387" s="42"/>
      <c r="J1387" s="82">
        <f t="shared" si="96"/>
        <v>0</v>
      </c>
      <c r="K1387" s="43"/>
      <c r="L1387" s="83" t="str">
        <f t="shared" si="97"/>
        <v/>
      </c>
      <c r="M1387" s="53"/>
      <c r="Q1387" s="12"/>
      <c r="S1387"/>
    </row>
    <row r="1388" spans="1:19" x14ac:dyDescent="0.25">
      <c r="A1388" s="12" t="str">
        <f t="shared" si="95"/>
        <v/>
      </c>
      <c r="B1388" s="16"/>
      <c r="C1388" s="17"/>
      <c r="D1388" s="18"/>
      <c r="E1388" s="29"/>
      <c r="F1388" s="27"/>
      <c r="G1388" s="28"/>
      <c r="H1388" s="19"/>
      <c r="I1388" s="23"/>
      <c r="J1388" s="82">
        <f t="shared" si="96"/>
        <v>0</v>
      </c>
      <c r="K1388" s="30"/>
      <c r="L1388" s="83" t="str">
        <f t="shared" si="97"/>
        <v/>
      </c>
      <c r="M1388" s="23"/>
      <c r="Q1388" s="12"/>
      <c r="S1388"/>
    </row>
    <row r="1389" spans="1:19" x14ac:dyDescent="0.25">
      <c r="A1389" s="12" t="str">
        <f t="shared" si="95"/>
        <v/>
      </c>
      <c r="B1389" s="16"/>
      <c r="C1389" s="17"/>
      <c r="D1389" s="18"/>
      <c r="E1389" s="29"/>
      <c r="F1389" s="39"/>
      <c r="G1389" s="40"/>
      <c r="H1389" s="41"/>
      <c r="I1389" s="42"/>
      <c r="J1389" s="82">
        <f t="shared" si="96"/>
        <v>0</v>
      </c>
      <c r="K1389" s="43"/>
      <c r="L1389" s="83" t="str">
        <f t="shared" si="97"/>
        <v/>
      </c>
      <c r="M1389" s="53"/>
      <c r="Q1389" s="12"/>
      <c r="S1389"/>
    </row>
    <row r="1390" spans="1:19" x14ac:dyDescent="0.25">
      <c r="A1390" s="12" t="str">
        <f t="shared" si="95"/>
        <v/>
      </c>
      <c r="B1390" s="16"/>
      <c r="C1390" s="17"/>
      <c r="D1390" s="18"/>
      <c r="E1390" s="29"/>
      <c r="F1390" s="27"/>
      <c r="G1390" s="28"/>
      <c r="H1390" s="19"/>
      <c r="I1390" s="23"/>
      <c r="J1390" s="82">
        <f t="shared" si="96"/>
        <v>0</v>
      </c>
      <c r="K1390" s="30"/>
      <c r="L1390" s="83" t="str">
        <f t="shared" si="97"/>
        <v/>
      </c>
      <c r="M1390" s="23"/>
      <c r="Q1390" s="12"/>
      <c r="S1390"/>
    </row>
    <row r="1391" spans="1:19" x14ac:dyDescent="0.25">
      <c r="A1391" s="12" t="str">
        <f t="shared" si="95"/>
        <v/>
      </c>
      <c r="B1391" s="16"/>
      <c r="C1391" s="17"/>
      <c r="D1391" s="18"/>
      <c r="E1391" s="29"/>
      <c r="F1391" s="39"/>
      <c r="G1391" s="40"/>
      <c r="H1391" s="41"/>
      <c r="I1391" s="42"/>
      <c r="J1391" s="82">
        <f t="shared" si="96"/>
        <v>0</v>
      </c>
      <c r="K1391" s="43"/>
      <c r="L1391" s="83" t="str">
        <f t="shared" si="97"/>
        <v/>
      </c>
      <c r="M1391" s="53"/>
      <c r="Q1391" s="12"/>
      <c r="S1391"/>
    </row>
    <row r="1392" spans="1:19" x14ac:dyDescent="0.25">
      <c r="A1392" s="12" t="str">
        <f t="shared" si="95"/>
        <v/>
      </c>
      <c r="B1392" s="16"/>
      <c r="C1392" s="17"/>
      <c r="D1392" s="18"/>
      <c r="E1392" s="29"/>
      <c r="F1392" s="27"/>
      <c r="G1392" s="28"/>
      <c r="H1392" s="19"/>
      <c r="I1392" s="23"/>
      <c r="J1392" s="82">
        <f t="shared" si="96"/>
        <v>0</v>
      </c>
      <c r="K1392" s="30"/>
      <c r="L1392" s="83" t="str">
        <f t="shared" si="97"/>
        <v/>
      </c>
      <c r="M1392" s="23"/>
      <c r="Q1392" s="12"/>
      <c r="S1392"/>
    </row>
    <row r="1393" spans="1:19" x14ac:dyDescent="0.25">
      <c r="A1393" s="12" t="str">
        <f t="shared" si="95"/>
        <v/>
      </c>
      <c r="B1393" s="16"/>
      <c r="C1393" s="17"/>
      <c r="D1393" s="18"/>
      <c r="E1393" s="29"/>
      <c r="F1393" s="39"/>
      <c r="G1393" s="40"/>
      <c r="H1393" s="41"/>
      <c r="I1393" s="42"/>
      <c r="J1393" s="82">
        <f t="shared" si="96"/>
        <v>0</v>
      </c>
      <c r="K1393" s="43"/>
      <c r="L1393" s="83" t="str">
        <f t="shared" si="97"/>
        <v/>
      </c>
      <c r="M1393" s="53"/>
      <c r="Q1393" s="12"/>
      <c r="S1393"/>
    </row>
    <row r="1394" spans="1:19" x14ac:dyDescent="0.25">
      <c r="A1394" s="12" t="str">
        <f t="shared" si="95"/>
        <v/>
      </c>
      <c r="B1394" s="16"/>
      <c r="C1394" s="17"/>
      <c r="D1394" s="18"/>
      <c r="E1394" s="29"/>
      <c r="F1394" s="27"/>
      <c r="G1394" s="28"/>
      <c r="H1394" s="19"/>
      <c r="I1394" s="23"/>
      <c r="J1394" s="82">
        <f t="shared" si="96"/>
        <v>0</v>
      </c>
      <c r="K1394" s="30"/>
      <c r="L1394" s="83" t="str">
        <f t="shared" si="97"/>
        <v/>
      </c>
      <c r="M1394" s="23"/>
      <c r="Q1394" s="12"/>
      <c r="S1394"/>
    </row>
    <row r="1395" spans="1:19" x14ac:dyDescent="0.25">
      <c r="A1395" s="12" t="str">
        <f t="shared" si="95"/>
        <v/>
      </c>
      <c r="B1395" s="16"/>
      <c r="C1395" s="17"/>
      <c r="D1395" s="18"/>
      <c r="E1395" s="29"/>
      <c r="F1395" s="39"/>
      <c r="G1395" s="40"/>
      <c r="H1395" s="41"/>
      <c r="I1395" s="42"/>
      <c r="J1395" s="82">
        <f t="shared" si="96"/>
        <v>0</v>
      </c>
      <c r="K1395" s="43"/>
      <c r="L1395" s="83" t="str">
        <f t="shared" si="97"/>
        <v/>
      </c>
      <c r="M1395" s="53"/>
      <c r="Q1395" s="12"/>
      <c r="S1395"/>
    </row>
    <row r="1396" spans="1:19" x14ac:dyDescent="0.25">
      <c r="A1396" s="12" t="str">
        <f t="shared" ref="A1396:A1435" si="98">IFERROR(DATE(B1396,C1396,D1396),"")</f>
        <v/>
      </c>
      <c r="B1396" s="16"/>
      <c r="C1396" s="17"/>
      <c r="D1396" s="18"/>
      <c r="E1396" s="29"/>
      <c r="F1396" s="27"/>
      <c r="G1396" s="28"/>
      <c r="H1396" s="19"/>
      <c r="I1396" s="23"/>
      <c r="J1396" s="82">
        <f t="shared" ref="J1396:J1435" si="99">IF(E1396="entrada",H1396*I1396,H1396*I1396*-1)</f>
        <v>0</v>
      </c>
      <c r="K1396" s="30"/>
      <c r="L1396" s="83" t="str">
        <f t="shared" ref="L1396:L1435" si="100">IF(J1396=0,"",SUM(L1395,J1396))</f>
        <v/>
      </c>
      <c r="M1396" s="23"/>
      <c r="Q1396" s="12"/>
      <c r="S1396"/>
    </row>
    <row r="1397" spans="1:19" x14ac:dyDescent="0.25">
      <c r="A1397" s="12" t="str">
        <f t="shared" si="98"/>
        <v/>
      </c>
      <c r="B1397" s="16"/>
      <c r="C1397" s="17"/>
      <c r="D1397" s="18"/>
      <c r="E1397" s="29"/>
      <c r="F1397" s="39"/>
      <c r="G1397" s="40"/>
      <c r="H1397" s="41"/>
      <c r="I1397" s="42"/>
      <c r="J1397" s="82">
        <f t="shared" si="99"/>
        <v>0</v>
      </c>
      <c r="K1397" s="43"/>
      <c r="L1397" s="83" t="str">
        <f t="shared" si="100"/>
        <v/>
      </c>
      <c r="M1397" s="53"/>
      <c r="Q1397" s="12"/>
      <c r="S1397"/>
    </row>
    <row r="1398" spans="1:19" x14ac:dyDescent="0.25">
      <c r="A1398" s="12" t="str">
        <f t="shared" si="98"/>
        <v/>
      </c>
      <c r="B1398" s="16"/>
      <c r="C1398" s="17"/>
      <c r="D1398" s="18"/>
      <c r="E1398" s="29"/>
      <c r="F1398" s="27"/>
      <c r="G1398" s="28"/>
      <c r="H1398" s="19"/>
      <c r="I1398" s="23"/>
      <c r="J1398" s="82">
        <f t="shared" si="99"/>
        <v>0</v>
      </c>
      <c r="K1398" s="30"/>
      <c r="L1398" s="83" t="str">
        <f t="shared" si="100"/>
        <v/>
      </c>
      <c r="M1398" s="23"/>
      <c r="Q1398" s="12"/>
      <c r="S1398"/>
    </row>
    <row r="1399" spans="1:19" x14ac:dyDescent="0.25">
      <c r="A1399" s="12" t="str">
        <f t="shared" si="98"/>
        <v/>
      </c>
      <c r="B1399" s="16"/>
      <c r="C1399" s="17"/>
      <c r="D1399" s="18"/>
      <c r="E1399" s="29"/>
      <c r="F1399" s="39"/>
      <c r="G1399" s="40"/>
      <c r="H1399" s="41"/>
      <c r="I1399" s="42"/>
      <c r="J1399" s="82">
        <f t="shared" si="99"/>
        <v>0</v>
      </c>
      <c r="K1399" s="43"/>
      <c r="L1399" s="83" t="str">
        <f t="shared" si="100"/>
        <v/>
      </c>
      <c r="M1399" s="53"/>
      <c r="Q1399" s="12"/>
      <c r="S1399"/>
    </row>
    <row r="1400" spans="1:19" x14ac:dyDescent="0.25">
      <c r="A1400" s="12" t="str">
        <f t="shared" si="98"/>
        <v/>
      </c>
      <c r="B1400" s="16"/>
      <c r="C1400" s="17"/>
      <c r="D1400" s="18"/>
      <c r="E1400" s="29"/>
      <c r="F1400" s="27"/>
      <c r="G1400" s="28"/>
      <c r="H1400" s="19"/>
      <c r="I1400" s="23"/>
      <c r="J1400" s="82">
        <f t="shared" si="99"/>
        <v>0</v>
      </c>
      <c r="K1400" s="30"/>
      <c r="L1400" s="83" t="str">
        <f t="shared" si="100"/>
        <v/>
      </c>
      <c r="M1400" s="23"/>
      <c r="Q1400" s="12"/>
      <c r="S1400"/>
    </row>
    <row r="1401" spans="1:19" x14ac:dyDescent="0.25">
      <c r="A1401" s="12" t="str">
        <f t="shared" si="98"/>
        <v/>
      </c>
      <c r="B1401" s="16"/>
      <c r="C1401" s="17"/>
      <c r="D1401" s="18"/>
      <c r="E1401" s="29"/>
      <c r="F1401" s="39"/>
      <c r="G1401" s="40"/>
      <c r="H1401" s="41"/>
      <c r="I1401" s="42"/>
      <c r="J1401" s="82">
        <f t="shared" si="99"/>
        <v>0</v>
      </c>
      <c r="K1401" s="43"/>
      <c r="L1401" s="83" t="str">
        <f t="shared" si="100"/>
        <v/>
      </c>
      <c r="M1401" s="53"/>
      <c r="Q1401" s="12"/>
      <c r="S1401"/>
    </row>
    <row r="1402" spans="1:19" x14ac:dyDescent="0.25">
      <c r="A1402" s="12" t="str">
        <f t="shared" si="98"/>
        <v/>
      </c>
      <c r="B1402" s="16"/>
      <c r="C1402" s="17"/>
      <c r="D1402" s="18"/>
      <c r="E1402" s="29"/>
      <c r="F1402" s="27"/>
      <c r="G1402" s="28"/>
      <c r="H1402" s="19"/>
      <c r="I1402" s="23"/>
      <c r="J1402" s="82">
        <f t="shared" si="99"/>
        <v>0</v>
      </c>
      <c r="K1402" s="30"/>
      <c r="L1402" s="83" t="str">
        <f t="shared" si="100"/>
        <v/>
      </c>
      <c r="M1402" s="23"/>
      <c r="Q1402" s="12"/>
      <c r="S1402"/>
    </row>
    <row r="1403" spans="1:19" x14ac:dyDescent="0.25">
      <c r="A1403" s="12" t="str">
        <f t="shared" si="98"/>
        <v/>
      </c>
      <c r="B1403" s="16"/>
      <c r="C1403" s="17"/>
      <c r="D1403" s="18"/>
      <c r="E1403" s="29"/>
      <c r="F1403" s="39"/>
      <c r="G1403" s="40"/>
      <c r="H1403" s="41"/>
      <c r="I1403" s="42"/>
      <c r="J1403" s="82">
        <f t="shared" si="99"/>
        <v>0</v>
      </c>
      <c r="K1403" s="43"/>
      <c r="L1403" s="83" t="str">
        <f t="shared" si="100"/>
        <v/>
      </c>
      <c r="M1403" s="53"/>
      <c r="Q1403" s="12"/>
      <c r="S1403"/>
    </row>
    <row r="1404" spans="1:19" x14ac:dyDescent="0.25">
      <c r="A1404" s="12" t="str">
        <f t="shared" si="98"/>
        <v/>
      </c>
      <c r="B1404" s="16"/>
      <c r="C1404" s="17"/>
      <c r="D1404" s="18"/>
      <c r="E1404" s="29"/>
      <c r="F1404" s="27"/>
      <c r="G1404" s="28"/>
      <c r="H1404" s="19"/>
      <c r="I1404" s="23"/>
      <c r="J1404" s="82">
        <f t="shared" si="99"/>
        <v>0</v>
      </c>
      <c r="K1404" s="30"/>
      <c r="L1404" s="83" t="str">
        <f t="shared" si="100"/>
        <v/>
      </c>
      <c r="M1404" s="23"/>
      <c r="Q1404" s="12"/>
      <c r="S1404"/>
    </row>
    <row r="1405" spans="1:19" x14ac:dyDescent="0.25">
      <c r="A1405" s="12" t="str">
        <f t="shared" si="98"/>
        <v/>
      </c>
      <c r="B1405" s="16"/>
      <c r="C1405" s="17"/>
      <c r="D1405" s="18"/>
      <c r="E1405" s="29"/>
      <c r="F1405" s="39"/>
      <c r="G1405" s="40"/>
      <c r="H1405" s="41"/>
      <c r="I1405" s="42"/>
      <c r="J1405" s="82">
        <f t="shared" si="99"/>
        <v>0</v>
      </c>
      <c r="K1405" s="43"/>
      <c r="L1405" s="83" t="str">
        <f t="shared" si="100"/>
        <v/>
      </c>
      <c r="M1405" s="53"/>
      <c r="Q1405" s="12"/>
      <c r="S1405"/>
    </row>
    <row r="1406" spans="1:19" x14ac:dyDescent="0.25">
      <c r="A1406" s="12" t="str">
        <f t="shared" si="98"/>
        <v/>
      </c>
      <c r="B1406" s="16"/>
      <c r="C1406" s="17"/>
      <c r="D1406" s="18"/>
      <c r="E1406" s="29"/>
      <c r="F1406" s="27"/>
      <c r="G1406" s="28"/>
      <c r="H1406" s="19"/>
      <c r="I1406" s="23"/>
      <c r="J1406" s="82">
        <f t="shared" si="99"/>
        <v>0</v>
      </c>
      <c r="K1406" s="30"/>
      <c r="L1406" s="83" t="str">
        <f t="shared" si="100"/>
        <v/>
      </c>
      <c r="M1406" s="23"/>
      <c r="Q1406" s="12"/>
      <c r="S1406"/>
    </row>
    <row r="1407" spans="1:19" x14ac:dyDescent="0.25">
      <c r="A1407" s="12" t="str">
        <f t="shared" si="98"/>
        <v/>
      </c>
      <c r="B1407" s="16"/>
      <c r="C1407" s="17"/>
      <c r="D1407" s="18"/>
      <c r="E1407" s="29"/>
      <c r="F1407" s="39"/>
      <c r="G1407" s="40"/>
      <c r="H1407" s="41"/>
      <c r="I1407" s="42"/>
      <c r="J1407" s="82">
        <f t="shared" si="99"/>
        <v>0</v>
      </c>
      <c r="K1407" s="43"/>
      <c r="L1407" s="83" t="str">
        <f t="shared" si="100"/>
        <v/>
      </c>
      <c r="M1407" s="53"/>
      <c r="Q1407" s="12"/>
      <c r="S1407"/>
    </row>
    <row r="1408" spans="1:19" x14ac:dyDescent="0.25">
      <c r="A1408" s="12" t="str">
        <f t="shared" si="98"/>
        <v/>
      </c>
      <c r="B1408" s="16"/>
      <c r="C1408" s="17"/>
      <c r="D1408" s="18"/>
      <c r="E1408" s="29"/>
      <c r="F1408" s="27"/>
      <c r="G1408" s="28"/>
      <c r="H1408" s="19"/>
      <c r="I1408" s="23"/>
      <c r="J1408" s="82">
        <f t="shared" si="99"/>
        <v>0</v>
      </c>
      <c r="K1408" s="30"/>
      <c r="L1408" s="83" t="str">
        <f t="shared" si="100"/>
        <v/>
      </c>
      <c r="M1408" s="23"/>
      <c r="Q1408" s="12"/>
      <c r="S1408"/>
    </row>
    <row r="1409" spans="1:19" x14ac:dyDescent="0.25">
      <c r="A1409" s="12" t="str">
        <f t="shared" si="98"/>
        <v/>
      </c>
      <c r="B1409" s="16"/>
      <c r="C1409" s="17"/>
      <c r="D1409" s="18"/>
      <c r="E1409" s="29"/>
      <c r="F1409" s="39"/>
      <c r="G1409" s="40"/>
      <c r="H1409" s="41"/>
      <c r="I1409" s="42"/>
      <c r="J1409" s="82">
        <f t="shared" si="99"/>
        <v>0</v>
      </c>
      <c r="K1409" s="43"/>
      <c r="L1409" s="83" t="str">
        <f t="shared" si="100"/>
        <v/>
      </c>
      <c r="M1409" s="53"/>
      <c r="Q1409" s="12"/>
      <c r="S1409"/>
    </row>
    <row r="1410" spans="1:19" x14ac:dyDescent="0.25">
      <c r="A1410" s="12" t="str">
        <f t="shared" si="98"/>
        <v/>
      </c>
      <c r="B1410" s="16"/>
      <c r="C1410" s="17"/>
      <c r="D1410" s="18"/>
      <c r="E1410" s="29"/>
      <c r="F1410" s="27"/>
      <c r="G1410" s="28"/>
      <c r="H1410" s="19"/>
      <c r="I1410" s="23"/>
      <c r="J1410" s="82">
        <f t="shared" si="99"/>
        <v>0</v>
      </c>
      <c r="K1410" s="30"/>
      <c r="L1410" s="83" t="str">
        <f t="shared" si="100"/>
        <v/>
      </c>
      <c r="M1410" s="23"/>
      <c r="Q1410" s="12"/>
      <c r="S1410"/>
    </row>
    <row r="1411" spans="1:19" x14ac:dyDescent="0.25">
      <c r="A1411" s="12" t="str">
        <f t="shared" si="98"/>
        <v/>
      </c>
      <c r="B1411" s="16"/>
      <c r="C1411" s="17"/>
      <c r="D1411" s="18"/>
      <c r="E1411" s="29"/>
      <c r="F1411" s="39"/>
      <c r="G1411" s="40"/>
      <c r="H1411" s="41"/>
      <c r="I1411" s="42"/>
      <c r="J1411" s="82">
        <f t="shared" si="99"/>
        <v>0</v>
      </c>
      <c r="K1411" s="43"/>
      <c r="L1411" s="83" t="str">
        <f t="shared" si="100"/>
        <v/>
      </c>
      <c r="M1411" s="53"/>
      <c r="Q1411" s="12"/>
      <c r="S1411"/>
    </row>
    <row r="1412" spans="1:19" x14ac:dyDescent="0.25">
      <c r="A1412" s="12" t="str">
        <f t="shared" si="98"/>
        <v/>
      </c>
      <c r="B1412" s="16"/>
      <c r="C1412" s="17"/>
      <c r="D1412" s="18"/>
      <c r="E1412" s="29"/>
      <c r="F1412" s="27"/>
      <c r="G1412" s="28"/>
      <c r="H1412" s="19"/>
      <c r="I1412" s="23"/>
      <c r="J1412" s="82">
        <f t="shared" si="99"/>
        <v>0</v>
      </c>
      <c r="K1412" s="30"/>
      <c r="L1412" s="83" t="str">
        <f t="shared" si="100"/>
        <v/>
      </c>
      <c r="M1412" s="23"/>
      <c r="Q1412" s="12"/>
      <c r="S1412"/>
    </row>
    <row r="1413" spans="1:19" x14ac:dyDescent="0.25">
      <c r="A1413" s="12" t="str">
        <f t="shared" si="98"/>
        <v/>
      </c>
      <c r="B1413" s="16"/>
      <c r="C1413" s="17"/>
      <c r="D1413" s="18"/>
      <c r="E1413" s="29"/>
      <c r="F1413" s="39"/>
      <c r="G1413" s="40"/>
      <c r="H1413" s="41"/>
      <c r="I1413" s="42"/>
      <c r="J1413" s="82">
        <f t="shared" si="99"/>
        <v>0</v>
      </c>
      <c r="K1413" s="43"/>
      <c r="L1413" s="83" t="str">
        <f t="shared" si="100"/>
        <v/>
      </c>
      <c r="M1413" s="53"/>
      <c r="Q1413" s="12"/>
      <c r="S1413"/>
    </row>
    <row r="1414" spans="1:19" x14ac:dyDescent="0.25">
      <c r="A1414" s="12" t="str">
        <f t="shared" si="98"/>
        <v/>
      </c>
      <c r="B1414" s="16"/>
      <c r="C1414" s="17"/>
      <c r="D1414" s="18"/>
      <c r="E1414" s="29"/>
      <c r="F1414" s="27"/>
      <c r="G1414" s="28"/>
      <c r="H1414" s="19"/>
      <c r="I1414" s="23"/>
      <c r="J1414" s="82">
        <f t="shared" si="99"/>
        <v>0</v>
      </c>
      <c r="K1414" s="30"/>
      <c r="L1414" s="83" t="str">
        <f t="shared" si="100"/>
        <v/>
      </c>
      <c r="M1414" s="23"/>
      <c r="Q1414" s="12"/>
      <c r="S1414"/>
    </row>
    <row r="1415" spans="1:19" x14ac:dyDescent="0.25">
      <c r="A1415" s="12" t="str">
        <f t="shared" si="98"/>
        <v/>
      </c>
      <c r="B1415" s="16"/>
      <c r="C1415" s="17"/>
      <c r="D1415" s="18"/>
      <c r="E1415" s="29"/>
      <c r="F1415" s="39"/>
      <c r="G1415" s="40"/>
      <c r="H1415" s="41"/>
      <c r="I1415" s="42"/>
      <c r="J1415" s="82">
        <f t="shared" si="99"/>
        <v>0</v>
      </c>
      <c r="K1415" s="43"/>
      <c r="L1415" s="83" t="str">
        <f t="shared" si="100"/>
        <v/>
      </c>
      <c r="M1415" s="53"/>
      <c r="Q1415" s="12"/>
      <c r="S1415"/>
    </row>
    <row r="1416" spans="1:19" x14ac:dyDescent="0.25">
      <c r="A1416" s="12" t="str">
        <f t="shared" si="98"/>
        <v/>
      </c>
      <c r="B1416" s="16"/>
      <c r="C1416" s="17"/>
      <c r="D1416" s="18"/>
      <c r="E1416" s="29"/>
      <c r="F1416" s="27"/>
      <c r="G1416" s="28"/>
      <c r="H1416" s="19"/>
      <c r="I1416" s="23"/>
      <c r="J1416" s="82">
        <f t="shared" si="99"/>
        <v>0</v>
      </c>
      <c r="K1416" s="30"/>
      <c r="L1416" s="83" t="str">
        <f t="shared" si="100"/>
        <v/>
      </c>
      <c r="M1416" s="23"/>
      <c r="Q1416" s="12"/>
      <c r="S1416"/>
    </row>
    <row r="1417" spans="1:19" x14ac:dyDescent="0.25">
      <c r="A1417" s="12" t="str">
        <f t="shared" si="98"/>
        <v/>
      </c>
      <c r="B1417" s="16"/>
      <c r="C1417" s="17"/>
      <c r="D1417" s="18"/>
      <c r="E1417" s="29"/>
      <c r="F1417" s="39"/>
      <c r="G1417" s="40"/>
      <c r="H1417" s="41"/>
      <c r="I1417" s="42"/>
      <c r="J1417" s="82">
        <f t="shared" si="99"/>
        <v>0</v>
      </c>
      <c r="K1417" s="43"/>
      <c r="L1417" s="83" t="str">
        <f t="shared" si="100"/>
        <v/>
      </c>
      <c r="M1417" s="53"/>
      <c r="Q1417" s="12"/>
      <c r="S1417"/>
    </row>
    <row r="1418" spans="1:19" x14ac:dyDescent="0.25">
      <c r="A1418" s="12" t="str">
        <f t="shared" si="98"/>
        <v/>
      </c>
      <c r="B1418" s="16"/>
      <c r="C1418" s="17"/>
      <c r="D1418" s="18"/>
      <c r="E1418" s="29"/>
      <c r="F1418" s="27"/>
      <c r="G1418" s="28"/>
      <c r="H1418" s="19"/>
      <c r="I1418" s="23"/>
      <c r="J1418" s="82">
        <f t="shared" si="99"/>
        <v>0</v>
      </c>
      <c r="K1418" s="30"/>
      <c r="L1418" s="83" t="str">
        <f t="shared" si="100"/>
        <v/>
      </c>
      <c r="M1418" s="23"/>
      <c r="Q1418" s="12"/>
      <c r="S1418"/>
    </row>
    <row r="1419" spans="1:19" x14ac:dyDescent="0.25">
      <c r="A1419" s="12" t="str">
        <f t="shared" si="98"/>
        <v/>
      </c>
      <c r="B1419" s="16"/>
      <c r="C1419" s="17"/>
      <c r="D1419" s="18"/>
      <c r="E1419" s="29"/>
      <c r="F1419" s="39"/>
      <c r="G1419" s="40"/>
      <c r="H1419" s="41"/>
      <c r="I1419" s="42"/>
      <c r="J1419" s="82">
        <f t="shared" si="99"/>
        <v>0</v>
      </c>
      <c r="K1419" s="43"/>
      <c r="L1419" s="83" t="str">
        <f t="shared" si="100"/>
        <v/>
      </c>
      <c r="M1419" s="53"/>
      <c r="Q1419" s="12"/>
      <c r="S1419"/>
    </row>
    <row r="1420" spans="1:19" x14ac:dyDescent="0.25">
      <c r="A1420" s="12" t="str">
        <f t="shared" si="98"/>
        <v/>
      </c>
      <c r="B1420" s="16"/>
      <c r="C1420" s="17"/>
      <c r="D1420" s="18"/>
      <c r="E1420" s="29"/>
      <c r="F1420" s="27"/>
      <c r="G1420" s="28"/>
      <c r="H1420" s="19"/>
      <c r="I1420" s="23"/>
      <c r="J1420" s="82">
        <f t="shared" si="99"/>
        <v>0</v>
      </c>
      <c r="K1420" s="30"/>
      <c r="L1420" s="83" t="str">
        <f t="shared" si="100"/>
        <v/>
      </c>
      <c r="M1420" s="23"/>
      <c r="Q1420" s="12"/>
      <c r="S1420"/>
    </row>
    <row r="1421" spans="1:19" x14ac:dyDescent="0.25">
      <c r="A1421" s="12" t="str">
        <f t="shared" si="98"/>
        <v/>
      </c>
      <c r="B1421" s="16"/>
      <c r="C1421" s="17"/>
      <c r="D1421" s="18"/>
      <c r="E1421" s="29"/>
      <c r="F1421" s="39"/>
      <c r="G1421" s="40"/>
      <c r="H1421" s="41"/>
      <c r="I1421" s="42"/>
      <c r="J1421" s="82">
        <f t="shared" si="99"/>
        <v>0</v>
      </c>
      <c r="K1421" s="43"/>
      <c r="L1421" s="83" t="str">
        <f t="shared" si="100"/>
        <v/>
      </c>
      <c r="M1421" s="53"/>
      <c r="Q1421" s="12"/>
      <c r="S1421"/>
    </row>
    <row r="1422" spans="1:19" x14ac:dyDescent="0.25">
      <c r="A1422" s="12" t="str">
        <f t="shared" si="98"/>
        <v/>
      </c>
      <c r="B1422" s="16"/>
      <c r="C1422" s="17"/>
      <c r="D1422" s="18"/>
      <c r="E1422" s="29"/>
      <c r="F1422" s="27"/>
      <c r="G1422" s="28"/>
      <c r="H1422" s="19"/>
      <c r="I1422" s="23"/>
      <c r="J1422" s="82">
        <f t="shared" si="99"/>
        <v>0</v>
      </c>
      <c r="K1422" s="30"/>
      <c r="L1422" s="83" t="str">
        <f t="shared" si="100"/>
        <v/>
      </c>
      <c r="M1422" s="23"/>
      <c r="Q1422" s="12"/>
      <c r="S1422"/>
    </row>
    <row r="1423" spans="1:19" x14ac:dyDescent="0.25">
      <c r="A1423" s="12" t="str">
        <f t="shared" si="98"/>
        <v/>
      </c>
      <c r="B1423" s="16"/>
      <c r="C1423" s="17"/>
      <c r="D1423" s="18"/>
      <c r="E1423" s="29"/>
      <c r="F1423" s="39"/>
      <c r="G1423" s="40"/>
      <c r="H1423" s="41"/>
      <c r="I1423" s="42"/>
      <c r="J1423" s="82">
        <f t="shared" si="99"/>
        <v>0</v>
      </c>
      <c r="K1423" s="43"/>
      <c r="L1423" s="83" t="str">
        <f t="shared" si="100"/>
        <v/>
      </c>
      <c r="M1423" s="53"/>
      <c r="Q1423" s="12"/>
      <c r="S1423"/>
    </row>
    <row r="1424" spans="1:19" x14ac:dyDescent="0.25">
      <c r="A1424" s="12" t="str">
        <f t="shared" si="98"/>
        <v/>
      </c>
      <c r="B1424" s="16"/>
      <c r="C1424" s="17"/>
      <c r="D1424" s="18"/>
      <c r="E1424" s="29"/>
      <c r="F1424" s="27"/>
      <c r="G1424" s="28"/>
      <c r="H1424" s="19"/>
      <c r="I1424" s="23"/>
      <c r="J1424" s="82">
        <f t="shared" si="99"/>
        <v>0</v>
      </c>
      <c r="K1424" s="30"/>
      <c r="L1424" s="83" t="str">
        <f t="shared" si="100"/>
        <v/>
      </c>
      <c r="M1424" s="23"/>
      <c r="Q1424" s="12"/>
      <c r="S1424"/>
    </row>
    <row r="1425" spans="1:19" x14ac:dyDescent="0.25">
      <c r="A1425" s="12" t="str">
        <f t="shared" si="98"/>
        <v/>
      </c>
      <c r="B1425" s="16"/>
      <c r="C1425" s="17"/>
      <c r="D1425" s="18"/>
      <c r="E1425" s="29"/>
      <c r="F1425" s="39"/>
      <c r="G1425" s="40"/>
      <c r="H1425" s="41"/>
      <c r="I1425" s="42"/>
      <c r="J1425" s="82">
        <f t="shared" si="99"/>
        <v>0</v>
      </c>
      <c r="K1425" s="43"/>
      <c r="L1425" s="83" t="str">
        <f t="shared" si="100"/>
        <v/>
      </c>
      <c r="M1425" s="53"/>
      <c r="Q1425" s="12"/>
      <c r="S1425"/>
    </row>
    <row r="1426" spans="1:19" x14ac:dyDescent="0.25">
      <c r="A1426" s="12" t="str">
        <f t="shared" si="98"/>
        <v/>
      </c>
      <c r="B1426" s="16"/>
      <c r="C1426" s="17"/>
      <c r="D1426" s="18"/>
      <c r="E1426" s="29"/>
      <c r="F1426" s="27"/>
      <c r="G1426" s="28"/>
      <c r="H1426" s="19"/>
      <c r="I1426" s="23"/>
      <c r="J1426" s="82">
        <f t="shared" si="99"/>
        <v>0</v>
      </c>
      <c r="K1426" s="30"/>
      <c r="L1426" s="83" t="str">
        <f t="shared" si="100"/>
        <v/>
      </c>
      <c r="M1426" s="23"/>
      <c r="Q1426" s="12"/>
      <c r="S1426"/>
    </row>
    <row r="1427" spans="1:19" x14ac:dyDescent="0.25">
      <c r="A1427" s="12" t="str">
        <f t="shared" si="98"/>
        <v/>
      </c>
      <c r="B1427" s="16"/>
      <c r="C1427" s="17"/>
      <c r="D1427" s="18"/>
      <c r="E1427" s="29"/>
      <c r="F1427" s="39"/>
      <c r="G1427" s="40"/>
      <c r="H1427" s="41"/>
      <c r="I1427" s="42"/>
      <c r="J1427" s="82">
        <f t="shared" si="99"/>
        <v>0</v>
      </c>
      <c r="K1427" s="43"/>
      <c r="L1427" s="83" t="str">
        <f t="shared" si="100"/>
        <v/>
      </c>
      <c r="M1427" s="53"/>
      <c r="Q1427" s="12"/>
      <c r="S1427"/>
    </row>
    <row r="1428" spans="1:19" x14ac:dyDescent="0.25">
      <c r="A1428" s="12" t="str">
        <f t="shared" si="98"/>
        <v/>
      </c>
      <c r="B1428" s="16"/>
      <c r="C1428" s="17"/>
      <c r="D1428" s="18"/>
      <c r="E1428" s="29"/>
      <c r="F1428" s="27"/>
      <c r="G1428" s="28"/>
      <c r="H1428" s="19"/>
      <c r="I1428" s="23"/>
      <c r="J1428" s="82">
        <f t="shared" si="99"/>
        <v>0</v>
      </c>
      <c r="K1428" s="30"/>
      <c r="L1428" s="83" t="str">
        <f t="shared" si="100"/>
        <v/>
      </c>
      <c r="M1428" s="23"/>
      <c r="Q1428" s="12"/>
      <c r="S1428"/>
    </row>
    <row r="1429" spans="1:19" x14ac:dyDescent="0.25">
      <c r="A1429" s="12" t="str">
        <f t="shared" si="98"/>
        <v/>
      </c>
      <c r="B1429" s="16"/>
      <c r="C1429" s="17"/>
      <c r="D1429" s="18"/>
      <c r="E1429" s="29"/>
      <c r="F1429" s="39"/>
      <c r="G1429" s="40"/>
      <c r="H1429" s="41"/>
      <c r="I1429" s="42"/>
      <c r="J1429" s="82">
        <f t="shared" si="99"/>
        <v>0</v>
      </c>
      <c r="K1429" s="43"/>
      <c r="L1429" s="83" t="str">
        <f t="shared" si="100"/>
        <v/>
      </c>
      <c r="M1429" s="53"/>
      <c r="Q1429" s="12"/>
      <c r="S1429"/>
    </row>
    <row r="1430" spans="1:19" x14ac:dyDescent="0.25">
      <c r="A1430" s="12" t="str">
        <f t="shared" si="98"/>
        <v/>
      </c>
      <c r="B1430" s="16"/>
      <c r="C1430" s="17"/>
      <c r="D1430" s="18"/>
      <c r="E1430" s="29"/>
      <c r="F1430" s="27"/>
      <c r="G1430" s="28"/>
      <c r="H1430" s="19"/>
      <c r="I1430" s="23"/>
      <c r="J1430" s="82">
        <f t="shared" si="99"/>
        <v>0</v>
      </c>
      <c r="K1430" s="30"/>
      <c r="L1430" s="83" t="str">
        <f t="shared" si="100"/>
        <v/>
      </c>
      <c r="M1430" s="23"/>
      <c r="Q1430" s="12"/>
      <c r="S1430"/>
    </row>
    <row r="1431" spans="1:19" x14ac:dyDescent="0.25">
      <c r="A1431" s="12" t="str">
        <f t="shared" si="98"/>
        <v/>
      </c>
      <c r="B1431" s="16"/>
      <c r="C1431" s="17"/>
      <c r="D1431" s="18"/>
      <c r="E1431" s="29"/>
      <c r="F1431" s="39"/>
      <c r="G1431" s="40"/>
      <c r="H1431" s="41"/>
      <c r="I1431" s="42"/>
      <c r="J1431" s="82">
        <f t="shared" si="99"/>
        <v>0</v>
      </c>
      <c r="K1431" s="43"/>
      <c r="L1431" s="83" t="str">
        <f t="shared" si="100"/>
        <v/>
      </c>
      <c r="M1431" s="53"/>
      <c r="Q1431" s="12"/>
      <c r="S1431"/>
    </row>
    <row r="1432" spans="1:19" x14ac:dyDescent="0.25">
      <c r="A1432" s="12" t="str">
        <f t="shared" si="98"/>
        <v/>
      </c>
      <c r="B1432" s="16"/>
      <c r="C1432" s="17"/>
      <c r="D1432" s="18"/>
      <c r="E1432" s="29"/>
      <c r="F1432" s="27"/>
      <c r="G1432" s="28"/>
      <c r="H1432" s="19"/>
      <c r="I1432" s="23"/>
      <c r="J1432" s="82">
        <f t="shared" si="99"/>
        <v>0</v>
      </c>
      <c r="K1432" s="30"/>
      <c r="L1432" s="83" t="str">
        <f t="shared" si="100"/>
        <v/>
      </c>
      <c r="M1432" s="23"/>
      <c r="Q1432" s="12"/>
      <c r="S1432"/>
    </row>
    <row r="1433" spans="1:19" x14ac:dyDescent="0.25">
      <c r="A1433" s="12" t="str">
        <f t="shared" si="98"/>
        <v/>
      </c>
      <c r="B1433" s="16"/>
      <c r="C1433" s="17"/>
      <c r="D1433" s="18"/>
      <c r="E1433" s="29"/>
      <c r="F1433" s="39"/>
      <c r="G1433" s="40"/>
      <c r="H1433" s="41"/>
      <c r="I1433" s="42"/>
      <c r="J1433" s="82">
        <f t="shared" si="99"/>
        <v>0</v>
      </c>
      <c r="K1433" s="43"/>
      <c r="L1433" s="83" t="str">
        <f t="shared" si="100"/>
        <v/>
      </c>
      <c r="M1433" s="53"/>
      <c r="Q1433" s="12"/>
      <c r="S1433"/>
    </row>
    <row r="1434" spans="1:19" x14ac:dyDescent="0.25">
      <c r="A1434" s="12" t="str">
        <f t="shared" si="98"/>
        <v/>
      </c>
      <c r="B1434" s="16"/>
      <c r="C1434" s="17"/>
      <c r="D1434" s="18"/>
      <c r="E1434" s="29"/>
      <c r="F1434" s="27"/>
      <c r="G1434" s="28"/>
      <c r="H1434" s="19"/>
      <c r="I1434" s="23"/>
      <c r="J1434" s="82">
        <f t="shared" si="99"/>
        <v>0</v>
      </c>
      <c r="K1434" s="30"/>
      <c r="L1434" s="83" t="str">
        <f t="shared" si="100"/>
        <v/>
      </c>
      <c r="M1434" s="23"/>
      <c r="Q1434" s="12"/>
      <c r="S1434"/>
    </row>
    <row r="1435" spans="1:19" x14ac:dyDescent="0.25">
      <c r="A1435" s="12" t="str">
        <f t="shared" si="98"/>
        <v/>
      </c>
      <c r="B1435" s="16"/>
      <c r="C1435" s="17"/>
      <c r="D1435" s="18"/>
      <c r="E1435" s="29"/>
      <c r="F1435" s="39"/>
      <c r="G1435" s="40"/>
      <c r="H1435" s="41"/>
      <c r="I1435" s="42"/>
      <c r="J1435" s="82">
        <f t="shared" si="99"/>
        <v>0</v>
      </c>
      <c r="K1435" s="43"/>
      <c r="L1435" s="83" t="str">
        <f t="shared" si="100"/>
        <v/>
      </c>
      <c r="M1435" s="53"/>
      <c r="Q1435" s="12"/>
      <c r="S1435"/>
    </row>
  </sheetData>
  <sheetProtection selectLockedCells="1"/>
  <mergeCells count="4">
    <mergeCell ref="AA1:AI2"/>
    <mergeCell ref="AK1:AT2"/>
    <mergeCell ref="A1:O2"/>
    <mergeCell ref="Q1:Y2"/>
  </mergeCells>
  <phoneticPr fontId="5" type="noConversion"/>
  <conditionalFormatting sqref="AA1 S3:S150 AA221:AA1048576 E3:E1435 S1436:S1048576 AA3:AA9 AA12">
    <cfRule type="cellIs" dxfId="15" priority="20" operator="equal">
      <formula>"ENTRADA"</formula>
    </cfRule>
  </conditionalFormatting>
  <conditionalFormatting sqref="S3:S150 AA1 AA221:AA1048576 E3:E1435 S1436:S1048576 AA3:AA9 AA12">
    <cfRule type="cellIs" dxfId="14" priority="19" operator="equal">
      <formula>"SAÍDA"</formula>
    </cfRule>
  </conditionalFormatting>
  <conditionalFormatting sqref="AA13">
    <cfRule type="cellIs" dxfId="13" priority="18" operator="equal">
      <formula>"ENTRADA"</formula>
    </cfRule>
  </conditionalFormatting>
  <conditionalFormatting sqref="AA13">
    <cfRule type="cellIs" dxfId="12" priority="17" operator="equal">
      <formula>"SAÍDA"</formula>
    </cfRule>
  </conditionalFormatting>
  <conditionalFormatting sqref="AA14">
    <cfRule type="cellIs" dxfId="11" priority="8" operator="equal">
      <formula>"ENTRADA"</formula>
    </cfRule>
  </conditionalFormatting>
  <conditionalFormatting sqref="AA14">
    <cfRule type="cellIs" dxfId="10" priority="7" operator="equal">
      <formula>"SAÍDA"</formula>
    </cfRule>
  </conditionalFormatting>
  <conditionalFormatting sqref="AA15 AA17 AA19 AA21 AA23 AA25 AA27 AA29 AA31 AA33 AA35 AA37 AA39 AA41 AA43 AA45 AA47 AA49 AA51 AA53 AA55 AA57 AA59 AA61 AA63 AA65 AA67 AA69 AA71 AA73 AA75 AA77 AA79 AA81 AA83 AA85 AA87 AA89 AA91 AA93 AA95 AA97 AA99 AA101 AA103 AA105 AA107 AA109 AA111 AA113 AA115 AA117 AA119 AA121 AA123 AA125 AA127 AA129 AA131 AA133 AA135 AA137 AA139 AA141 AA143 AA145 AA147 AA149 AA151 AA153 AA155 AA157 AA159 AA161 AA163 AA165 AA167 AA169 AA171 AA173 AA175 AA177 AA179 AA181 AA183 AA185 AA187 AA189 AA191 AA193 AA195 AA197 AA199 AA201 AA203 AA205 AA207 AA209 AA211 AA213 AA215 AA217 AA219">
    <cfRule type="cellIs" dxfId="9" priority="6" operator="equal">
      <formula>"ENTRADA"</formula>
    </cfRule>
  </conditionalFormatting>
  <conditionalFormatting sqref="AA15 AA17 AA19 AA21 AA23 AA25 AA27 AA29 AA31 AA33 AA35 AA37 AA39 AA41 AA43 AA45 AA47 AA49 AA51 AA53 AA55 AA57 AA59 AA61 AA63 AA65 AA67 AA69 AA71 AA73 AA75 AA77 AA79 AA81 AA83 AA85 AA87 AA89 AA91 AA93 AA95 AA97 AA99 AA101 AA103 AA105 AA107 AA109 AA111 AA113 AA115 AA117 AA119 AA121 AA123 AA125 AA127 AA129 AA131 AA133 AA135 AA137 AA139 AA141 AA143 AA145 AA147 AA149 AA151 AA153 AA155 AA157 AA159 AA161 AA163 AA165 AA167 AA169 AA171 AA173 AA175 AA177 AA179 AA181 AA183 AA185 AA187 AA189 AA191 AA193 AA195 AA197 AA199 AA201 AA203 AA205 AA207 AA209 AA211 AA213 AA215 AA217 AA219">
    <cfRule type="cellIs" dxfId="8" priority="5" operator="equal">
      <formula>"SAÍDA"</formula>
    </cfRule>
  </conditionalFormatting>
  <conditionalFormatting sqref="AA16 AA18 AA20 AA22 AA24 AA26 AA28 AA30 AA32 AA34 AA36 AA38 AA40 AA42 AA44 AA46 AA48 AA50 AA52 AA54 AA56 AA58 AA60 AA62 AA64 AA66 AA68 AA70 AA72 AA74 AA76 AA78 AA80 AA82 AA84 AA86 AA88 AA90 AA92 AA94 AA96 AA98 AA100 AA102 AA104 AA106 AA108 AA110 AA112 AA114 AA116 AA118 AA120 AA122 AA124 AA126 AA128 AA130 AA132 AA134 AA136 AA138 AA140 AA142 AA144 AA146 AA148 AA150 AA152 AA154 AA156 AA158 AA160 AA162 AA164 AA166 AA168 AA170 AA172 AA174 AA176 AA178 AA180 AA182 AA184 AA186 AA188 AA190 AA192 AA194 AA196 AA198 AA200 AA202 AA204 AA206 AA208 AA210 AA212 AA214 AA216 AA218 AA220">
    <cfRule type="cellIs" dxfId="7" priority="4" operator="equal">
      <formula>"ENTRADA"</formula>
    </cfRule>
  </conditionalFormatting>
  <conditionalFormatting sqref="AA16 AA18 AA20 AA22 AA24 AA26 AA28 AA30 AA32 AA34 AA36 AA38 AA40 AA42 AA44 AA46 AA48 AA50 AA52 AA54 AA56 AA58 AA60 AA62 AA64 AA66 AA68 AA70 AA72 AA74 AA76 AA78 AA80 AA82 AA84 AA86 AA88 AA90 AA92 AA94 AA96 AA98 AA100 AA102 AA104 AA106 AA108 AA110 AA112 AA114 AA116 AA118 AA120 AA122 AA124 AA126 AA128 AA130 AA132 AA134 AA136 AA138 AA140 AA142 AA144 AA146 AA148 AA150 AA152 AA154 AA156 AA158 AA160 AA162 AA164 AA166 AA168 AA170 AA172 AA174 AA176 AA178 AA180 AA182 AA184 AA186 AA188 AA190 AA192 AA194 AA196 AA198 AA200 AA202 AA204 AA206 AA208 AA210 AA212 AA214 AA216 AA218 AA220">
    <cfRule type="cellIs" dxfId="6" priority="3" operator="equal">
      <formula>"SAÍDA"</formula>
    </cfRule>
  </conditionalFormatting>
  <conditionalFormatting sqref="AA10:AA11">
    <cfRule type="cellIs" dxfId="1" priority="2" operator="equal">
      <formula>"ENTRADA"</formula>
    </cfRule>
  </conditionalFormatting>
  <conditionalFormatting sqref="AA10:AA11">
    <cfRule type="cellIs" dxfId="0" priority="1" operator="equal">
      <formula>"SAÍDA"</formula>
    </cfRule>
  </conditionalFormatting>
  <pageMargins left="0.511811024" right="0.511811024" top="0.78740157499999996" bottom="0.78740157499999996" header="0.31496062000000002" footer="0.31496062000000002"/>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6F84B3-7978-4170-9399-35BB9DDE4076}">
  <sheetPr codeName="Planilha4"/>
  <dimension ref="B1:F34"/>
  <sheetViews>
    <sheetView showGridLines="0" workbookViewId="0">
      <selection activeCell="X7" sqref="X7"/>
    </sheetView>
  </sheetViews>
  <sheetFormatPr defaultRowHeight="15" x14ac:dyDescent="0.25"/>
  <cols>
    <col min="1" max="1" width="3.140625" customWidth="1"/>
    <col min="2" max="2" width="7.140625" customWidth="1"/>
    <col min="3" max="4" width="13.5703125" customWidth="1"/>
    <col min="5" max="5" width="9.42578125" bestFit="1" customWidth="1"/>
    <col min="6" max="6" width="10.140625" bestFit="1" customWidth="1"/>
  </cols>
  <sheetData>
    <row r="1" spans="2:6" ht="15.75" thickBot="1" x14ac:dyDescent="0.3">
      <c r="B1" s="26"/>
      <c r="C1" s="1"/>
      <c r="D1" s="1"/>
      <c r="E1" s="1"/>
      <c r="F1" s="1"/>
    </row>
    <row r="2" spans="2:6" ht="15.75" thickBot="1" x14ac:dyDescent="0.3">
      <c r="B2" s="33" t="s">
        <v>1</v>
      </c>
      <c r="C2" s="34" t="s">
        <v>85</v>
      </c>
      <c r="D2" s="34" t="s">
        <v>42</v>
      </c>
      <c r="E2" s="34" t="s">
        <v>46</v>
      </c>
      <c r="F2" s="34" t="s">
        <v>48</v>
      </c>
    </row>
    <row r="3" spans="2:6" x14ac:dyDescent="0.25">
      <c r="B3" s="36" cm="1">
        <f t="array" ref="B3:B14">_xlfn._xlws.FILTER(_xlfn.UNIQUE(ACOMP!R7:R1048576),_xlfn.UNIQUE(ACOMP!R7:R1048576)&lt;&gt;0)</f>
        <v>4</v>
      </c>
      <c r="C3" s="46">
        <f ca="1">IF(SUMIF(ACOMP!$R$7:$R$1048576,B3,_xlfn.ANCHORARRAY(ACOMP!$V$7))=0,NA(),SUMIF(ACOMP!$R$7:$R$1048576,B3,_xlfn.ANCHORARRAY(ACOMP!$V$7)))</f>
        <v>-110</v>
      </c>
      <c r="D3" s="46" cm="1">
        <f t="array" aca="1" ref="D3" ca="1">IF(E3&lt;&gt;0,IFERROR(MAX(_xlfn._xlws.FILTER(ACOMP!$W$7:$W$70,ACOMP!$R$7:$R$70=B3)),"")-E3,IFERROR(MAX(_xlfn._xlws.FILTER(ACOMP!$W$7:$W$70,ACOMP!$R$7:$R$70=B3)),""))</f>
        <v>630</v>
      </c>
      <c r="E3" s="46">
        <f ca="1">IF(C3&gt;0,C3,0)</f>
        <v>0</v>
      </c>
      <c r="F3" s="46">
        <f ca="1">IF(C3&lt;0,C3,0)*-1</f>
        <v>110</v>
      </c>
    </row>
    <row r="4" spans="2:6" x14ac:dyDescent="0.25">
      <c r="B4" s="76">
        <v>2</v>
      </c>
      <c r="C4" s="46">
        <f ca="1">IF(SUMIF(ACOMP!$R$7:$R$1048576,B4,_xlfn.ANCHORARRAY(ACOMP!$V$7))=0,NA(),SUMIF(ACOMP!$R$7:$R$1048576,B4,_xlfn.ANCHORARRAY(ACOMP!$V$7)))</f>
        <v>-310</v>
      </c>
      <c r="D4" s="46" cm="1">
        <f t="array" aca="1" ref="D4" ca="1">IF(E4&lt;&gt;0,IFERROR(MAX(_xlfn._xlws.FILTER(ACOMP!$W$7:$W$70,ACOMP!$R$7:$R$70=B4)),"")-E4,IFERROR(MAX(_xlfn._xlws.FILTER(ACOMP!$W$7:$W$70,ACOMP!$R$7:$R$70=B4)),""))</f>
        <v>430</v>
      </c>
      <c r="E4" s="46">
        <f t="shared" ref="E4:E34" ca="1" si="0">IF(C4&gt;0,C4,0)</f>
        <v>0</v>
      </c>
      <c r="F4" s="46">
        <f t="shared" ref="F4:F34" ca="1" si="1">IF(C4&lt;0,C4,0)*-1</f>
        <v>310</v>
      </c>
    </row>
    <row r="5" spans="2:6" x14ac:dyDescent="0.25">
      <c r="B5" s="76">
        <v>5</v>
      </c>
      <c r="C5" s="46">
        <f ca="1">IF(SUMIF(ACOMP!$R$7:$R$1048576,B5,_xlfn.ANCHORARRAY(ACOMP!$V$7))=0,NA(),SUMIF(ACOMP!$R$7:$R$1048576,B5,_xlfn.ANCHORARRAY(ACOMP!$V$7)))</f>
        <v>-5</v>
      </c>
      <c r="D5" s="46" cm="1">
        <f t="array" aca="1" ref="D5" ca="1">IF(E5&lt;&gt;0,IFERROR(MAX(_xlfn._xlws.FILTER(ACOMP!$W$7:$W$70,ACOMP!$R$7:$R$70=B5)),"")-E5,IFERROR(MAX(_xlfn._xlws.FILTER(ACOMP!$W$7:$W$70,ACOMP!$R$7:$R$70=B5)),""))</f>
        <v>75</v>
      </c>
      <c r="E5" s="46">
        <f t="shared" ca="1" si="0"/>
        <v>0</v>
      </c>
      <c r="F5" s="46">
        <f t="shared" ca="1" si="1"/>
        <v>5</v>
      </c>
    </row>
    <row r="6" spans="2:6" x14ac:dyDescent="0.25">
      <c r="B6" s="76">
        <v>6</v>
      </c>
      <c r="C6" s="46">
        <f ca="1">IF(SUMIF(ACOMP!$R$7:$R$1048576,B6,_xlfn.ANCHORARRAY(ACOMP!$V$7))=0,NA(),SUMIF(ACOMP!$R$7:$R$1048576,B6,_xlfn.ANCHORARRAY(ACOMP!$V$7)))</f>
        <v>2420</v>
      </c>
      <c r="D6" s="46" cm="1">
        <f t="array" aca="1" ref="D6" ca="1">IF(E6&lt;&gt;0,IFERROR(MAX(_xlfn._xlws.FILTER(ACOMP!$W$7:$W$70,ACOMP!$R$7:$R$70=B6)),"")-E6,IFERROR(MAX(_xlfn._xlws.FILTER(ACOMP!$W$7:$W$70,ACOMP!$R$7:$R$70=B6)),""))</f>
        <v>455</v>
      </c>
      <c r="E6" s="46">
        <f t="shared" ca="1" si="0"/>
        <v>2420</v>
      </c>
      <c r="F6" s="46">
        <f t="shared" ca="1" si="1"/>
        <v>0</v>
      </c>
    </row>
    <row r="7" spans="2:6" x14ac:dyDescent="0.25">
      <c r="B7" s="76">
        <v>8</v>
      </c>
      <c r="C7" s="46">
        <f ca="1">IF(SUMIF(ACOMP!$R$7:$R$1048576,B7,_xlfn.ANCHORARRAY(ACOMP!$V$7))=0,NA(),SUMIF(ACOMP!$R$7:$R$1048576,B7,_xlfn.ANCHORARRAY(ACOMP!$V$7)))</f>
        <v>-240</v>
      </c>
      <c r="D7" s="46" cm="1">
        <f t="array" aca="1" ref="D7" ca="1">IF(E7&lt;&gt;0,IFERROR(MAX(_xlfn._xlws.FILTER(ACOMP!$W$7:$W$70,ACOMP!$R$7:$R$70=B7)),"")-E7,IFERROR(MAX(_xlfn._xlws.FILTER(ACOMP!$W$7:$W$70,ACOMP!$R$7:$R$70=B7)),""))</f>
        <v>2475</v>
      </c>
      <c r="E7" s="46">
        <f t="shared" ca="1" si="0"/>
        <v>0</v>
      </c>
      <c r="F7" s="46">
        <f t="shared" ca="1" si="1"/>
        <v>240</v>
      </c>
    </row>
    <row r="8" spans="2:6" x14ac:dyDescent="0.25">
      <c r="B8" s="76">
        <v>9</v>
      </c>
      <c r="C8" s="46">
        <f ca="1">IF(SUMIF(ACOMP!$R$7:$R$1048576,B8,_xlfn.ANCHORARRAY(ACOMP!$V$7))=0,NA(),SUMIF(ACOMP!$R$7:$R$1048576,B8,_xlfn.ANCHORARRAY(ACOMP!$V$7)))</f>
        <v>-171</v>
      </c>
      <c r="D8" s="46" cm="1">
        <f t="array" aca="1" ref="D8" ca="1">IF(E8&lt;&gt;0,IFERROR(MAX(_xlfn._xlws.FILTER(ACOMP!$W$7:$W$70,ACOMP!$R$7:$R$70=B8)),"")-E8,IFERROR(MAX(_xlfn._xlws.FILTER(ACOMP!$W$7:$W$70,ACOMP!$R$7:$R$70=B8)),""))</f>
        <v>2220</v>
      </c>
      <c r="E8" s="46">
        <f t="shared" ca="1" si="0"/>
        <v>0</v>
      </c>
      <c r="F8" s="46">
        <f t="shared" ca="1" si="1"/>
        <v>171</v>
      </c>
    </row>
    <row r="9" spans="2:6" x14ac:dyDescent="0.25">
      <c r="B9" s="76">
        <v>10</v>
      </c>
      <c r="C9" s="46">
        <f ca="1">IF(SUMIF(ACOMP!$R$7:$R$1048576,B9,_xlfn.ANCHORARRAY(ACOMP!$V$7))=0,NA(),SUMIF(ACOMP!$R$7:$R$1048576,B9,_xlfn.ANCHORARRAY(ACOMP!$V$7)))</f>
        <v>-80</v>
      </c>
      <c r="D9" s="46" cm="1">
        <f t="array" aca="1" ref="D9" ca="1">IF(E9&lt;&gt;0,IFERROR(MAX(_xlfn._xlws.FILTER(ACOMP!$W$7:$W$70,ACOMP!$R$7:$R$70=B9)),"")-E9,IFERROR(MAX(_xlfn._xlws.FILTER(ACOMP!$W$7:$W$70,ACOMP!$R$7:$R$70=B9)),""))</f>
        <v>2064</v>
      </c>
      <c r="E9" s="46">
        <f t="shared" ca="1" si="0"/>
        <v>0</v>
      </c>
      <c r="F9" s="46">
        <f t="shared" ca="1" si="1"/>
        <v>80</v>
      </c>
    </row>
    <row r="10" spans="2:6" x14ac:dyDescent="0.25">
      <c r="B10" s="76">
        <v>11</v>
      </c>
      <c r="C10" s="46">
        <f ca="1">IF(SUMIF(ACOMP!$R$7:$R$1048576,B10,_xlfn.ANCHORARRAY(ACOMP!$V$7))=0,NA(),SUMIF(ACOMP!$R$7:$R$1048576,B10,_xlfn.ANCHORARRAY(ACOMP!$V$7)))</f>
        <v>-930</v>
      </c>
      <c r="D10" s="46" cm="1">
        <f t="array" aca="1" ref="D10" ca="1">IF(E10&lt;&gt;0,IFERROR(MAX(_xlfn._xlws.FILTER(ACOMP!$W$7:$W$70,ACOMP!$R$7:$R$70=B10)),"")-E10,IFERROR(MAX(_xlfn._xlws.FILTER(ACOMP!$W$7:$W$70,ACOMP!$R$7:$R$70=B10)),""))</f>
        <v>1074</v>
      </c>
      <c r="E10" s="46">
        <f t="shared" ca="1" si="0"/>
        <v>0</v>
      </c>
      <c r="F10" s="46">
        <f t="shared" ca="1" si="1"/>
        <v>930</v>
      </c>
    </row>
    <row r="11" spans="2:6" x14ac:dyDescent="0.25">
      <c r="B11" s="76">
        <v>20</v>
      </c>
      <c r="C11" s="46">
        <f ca="1">IF(SUMIF(ACOMP!$R$7:$R$1048576,B11,_xlfn.ANCHORARRAY(ACOMP!$V$7))=0,NA(),SUMIF(ACOMP!$R$7:$R$1048576,B11,_xlfn.ANCHORARRAY(ACOMP!$V$7)))</f>
        <v>537.69000000000005</v>
      </c>
      <c r="D11" s="46" cm="1">
        <f t="array" aca="1" ref="D11" ca="1">IF(E11&lt;&gt;0,IFERROR(MAX(_xlfn._xlws.FILTER(ACOMP!$W$7:$W$70,ACOMP!$R$7:$R$70=B11)),"")-E11,IFERROR(MAX(_xlfn._xlws.FILTER(ACOMP!$W$7:$W$70,ACOMP!$R$7:$R$70=B11)),""))</f>
        <v>1136.31</v>
      </c>
      <c r="E11" s="46">
        <f t="shared" ca="1" si="0"/>
        <v>537.69000000000005</v>
      </c>
      <c r="F11" s="46">
        <f t="shared" ca="1" si="1"/>
        <v>0</v>
      </c>
    </row>
    <row r="12" spans="2:6" x14ac:dyDescent="0.25">
      <c r="B12" s="76">
        <v>22</v>
      </c>
      <c r="C12" s="46">
        <f ca="1">IF(SUMIF(ACOMP!$R$7:$R$1048576,B12,_xlfn.ANCHORARRAY(ACOMP!$V$7))=0,NA(),SUMIF(ACOMP!$R$7:$R$1048576,B12,_xlfn.ANCHORARRAY(ACOMP!$V$7)))</f>
        <v>10</v>
      </c>
      <c r="D12" s="46" cm="1">
        <f t="array" aca="1" ref="D12" ca="1">IF(E12&lt;&gt;0,IFERROR(MAX(_xlfn._xlws.FILTER(ACOMP!$W$7:$W$70,ACOMP!$R$7:$R$70=B12)),"")-E12,IFERROR(MAX(_xlfn._xlws.FILTER(ACOMP!$W$7:$W$70,ACOMP!$R$7:$R$70=B12)),""))</f>
        <v>1611.69</v>
      </c>
      <c r="E12" s="46">
        <f t="shared" ca="1" si="0"/>
        <v>10</v>
      </c>
      <c r="F12" s="46">
        <f t="shared" ca="1" si="1"/>
        <v>0</v>
      </c>
    </row>
    <row r="13" spans="2:6" x14ac:dyDescent="0.25">
      <c r="B13" s="76">
        <v>27</v>
      </c>
      <c r="C13" s="46">
        <f ca="1">IF(SUMIF(ACOMP!$R$7:$R$1048576,B13,_xlfn.ANCHORARRAY(ACOMP!$V$7))=0,NA(),SUMIF(ACOMP!$R$7:$R$1048576,B13,_xlfn.ANCHORARRAY(ACOMP!$V$7)))</f>
        <v>700</v>
      </c>
      <c r="D13" s="46" cm="1">
        <f t="array" aca="1" ref="D13" ca="1">IF(E13&lt;&gt;0,IFERROR(MAX(_xlfn._xlws.FILTER(ACOMP!$W$7:$W$70,ACOMP!$R$7:$R$70=B13)),"")-E13,IFERROR(MAX(_xlfn._xlws.FILTER(ACOMP!$W$7:$W$70,ACOMP!$R$7:$R$70=B13)),""))</f>
        <v>1621.69</v>
      </c>
      <c r="E13" s="46">
        <f t="shared" ca="1" si="0"/>
        <v>700</v>
      </c>
      <c r="F13" s="46">
        <f t="shared" ca="1" si="1"/>
        <v>0</v>
      </c>
    </row>
    <row r="14" spans="2:6" x14ac:dyDescent="0.25">
      <c r="B14" s="76">
        <v>30</v>
      </c>
      <c r="C14" s="46">
        <f ca="1">IF(SUMIF(ACOMP!$R$7:$R$1048576,B14,_xlfn.ANCHORARRAY(ACOMP!$V$7))=0,NA(),SUMIF(ACOMP!$R$7:$R$1048576,B14,_xlfn.ANCHORARRAY(ACOMP!$V$7)))</f>
        <v>-20</v>
      </c>
      <c r="D14" s="46" cm="1">
        <f t="array" aca="1" ref="D14" ca="1">IF(E14&lt;&gt;0,IFERROR(MAX(_xlfn._xlws.FILTER(ACOMP!$W$7:$W$70,ACOMP!$R$7:$R$70=B14)),"")-E14,IFERROR(MAX(_xlfn._xlws.FILTER(ACOMP!$W$7:$W$70,ACOMP!$R$7:$R$70=B14)),""))</f>
        <v>2301.69</v>
      </c>
      <c r="E14" s="46">
        <f t="shared" ca="1" si="0"/>
        <v>0</v>
      </c>
      <c r="F14" s="46">
        <f t="shared" ca="1" si="1"/>
        <v>20</v>
      </c>
    </row>
    <row r="15" spans="2:6" x14ac:dyDescent="0.25">
      <c r="B15" s="76"/>
      <c r="C15" s="46" t="e">
        <f ca="1">IF(SUMIF(ACOMP!$R$7:$R$1048576,B15,_xlfn.ANCHORARRAY(ACOMP!$V$7))=0,NA(),SUMIF(ACOMP!$R$7:$R$1048576,B15,_xlfn.ANCHORARRAY(ACOMP!$V$7)))</f>
        <v>#N/A</v>
      </c>
      <c r="D15" s="46" t="e" cm="1">
        <f t="array" aca="1" ref="D15" ca="1">IF(E15&lt;&gt;0,IFERROR(MAX(_xlfn._xlws.FILTER(ACOMP!$W$7:$W$70,ACOMP!$R$7:$R$70=B15)),"")-E15,IFERROR(MAX(_xlfn._xlws.FILTER(ACOMP!$W$7:$W$70,ACOMP!$R$7:$R$70=B15)),""))</f>
        <v>#N/A</v>
      </c>
      <c r="E15" s="46" t="e">
        <f t="shared" ca="1" si="0"/>
        <v>#N/A</v>
      </c>
      <c r="F15" s="46" t="e">
        <f t="shared" ca="1" si="1"/>
        <v>#N/A</v>
      </c>
    </row>
    <row r="16" spans="2:6" x14ac:dyDescent="0.25">
      <c r="B16" s="76"/>
      <c r="C16" s="46" t="e">
        <f ca="1">IF(SUMIF(ACOMP!$R$7:$R$1048576,B16,_xlfn.ANCHORARRAY(ACOMP!$V$7))=0,NA(),SUMIF(ACOMP!$R$7:$R$1048576,B16,_xlfn.ANCHORARRAY(ACOMP!$V$7)))</f>
        <v>#N/A</v>
      </c>
      <c r="D16" s="46" t="e" cm="1">
        <f t="array" aca="1" ref="D16" ca="1">IF(E16&lt;&gt;0,IFERROR(MAX(_xlfn._xlws.FILTER(ACOMP!$W$7:$W$70,ACOMP!$R$7:$R$70=B16)),"")-E16,IFERROR(MAX(_xlfn._xlws.FILTER(ACOMP!$W$7:$W$70,ACOMP!$R$7:$R$70=B16)),""))</f>
        <v>#N/A</v>
      </c>
      <c r="E16" s="46" t="e">
        <f t="shared" ca="1" si="0"/>
        <v>#N/A</v>
      </c>
      <c r="F16" s="46" t="e">
        <f t="shared" ca="1" si="1"/>
        <v>#N/A</v>
      </c>
    </row>
    <row r="17" spans="2:6" x14ac:dyDescent="0.25">
      <c r="B17" s="76"/>
      <c r="C17" s="46" t="e">
        <f ca="1">IF(SUMIF(ACOMP!$R$7:$R$1048576,B17,_xlfn.ANCHORARRAY(ACOMP!$V$7))=0,NA(),SUMIF(ACOMP!$R$7:$R$1048576,B17,_xlfn.ANCHORARRAY(ACOMP!$V$7)))</f>
        <v>#N/A</v>
      </c>
      <c r="D17" s="46" t="e" cm="1">
        <f t="array" aca="1" ref="D17" ca="1">IF(E17&lt;&gt;0,IFERROR(MAX(_xlfn._xlws.FILTER(ACOMP!$W$7:$W$70,ACOMP!$R$7:$R$70=B17)),"")-E17,IFERROR(MAX(_xlfn._xlws.FILTER(ACOMP!$W$7:$W$70,ACOMP!$R$7:$R$70=B17)),""))</f>
        <v>#N/A</v>
      </c>
      <c r="E17" s="46" t="e">
        <f t="shared" ca="1" si="0"/>
        <v>#N/A</v>
      </c>
      <c r="F17" s="46" t="e">
        <f t="shared" ca="1" si="1"/>
        <v>#N/A</v>
      </c>
    </row>
    <row r="18" spans="2:6" x14ac:dyDescent="0.25">
      <c r="B18" s="76"/>
      <c r="C18" s="46" t="e">
        <f ca="1">IF(SUMIF(ACOMP!$R$7:$R$1048576,B18,_xlfn.ANCHORARRAY(ACOMP!$V$7))=0,NA(),SUMIF(ACOMP!$R$7:$R$1048576,B18,_xlfn.ANCHORARRAY(ACOMP!$V$7)))</f>
        <v>#N/A</v>
      </c>
      <c r="D18" s="46" t="e" cm="1">
        <f t="array" aca="1" ref="D18" ca="1">IF(E18&lt;&gt;0,IFERROR(MAX(_xlfn._xlws.FILTER(ACOMP!$W$7:$W$70,ACOMP!$R$7:$R$70=B18)),"")-E18,IFERROR(MAX(_xlfn._xlws.FILTER(ACOMP!$W$7:$W$70,ACOMP!$R$7:$R$70=B18)),""))</f>
        <v>#N/A</v>
      </c>
      <c r="E18" s="46" t="e">
        <f t="shared" ca="1" si="0"/>
        <v>#N/A</v>
      </c>
      <c r="F18" s="46" t="e">
        <f t="shared" ca="1" si="1"/>
        <v>#N/A</v>
      </c>
    </row>
    <row r="19" spans="2:6" x14ac:dyDescent="0.25">
      <c r="B19" s="76"/>
      <c r="C19" s="46" t="e">
        <f ca="1">IF(SUMIF(ACOMP!$R$7:$R$1048576,B19,_xlfn.ANCHORARRAY(ACOMP!$V$7))=0,NA(),SUMIF(ACOMP!$R$7:$R$1048576,B19,_xlfn.ANCHORARRAY(ACOMP!$V$7)))</f>
        <v>#N/A</v>
      </c>
      <c r="D19" s="46" t="e" cm="1">
        <f t="array" aca="1" ref="D19" ca="1">IF(E19&lt;&gt;0,IFERROR(MAX(_xlfn._xlws.FILTER(ACOMP!$W$7:$W$70,ACOMP!$R$7:$R$70=B19)),"")-E19,IFERROR(MAX(_xlfn._xlws.FILTER(ACOMP!$W$7:$W$70,ACOMP!$R$7:$R$70=B19)),""))</f>
        <v>#N/A</v>
      </c>
      <c r="E19" s="46" t="e">
        <f t="shared" ca="1" si="0"/>
        <v>#N/A</v>
      </c>
      <c r="F19" s="46" t="e">
        <f t="shared" ca="1" si="1"/>
        <v>#N/A</v>
      </c>
    </row>
    <row r="20" spans="2:6" x14ac:dyDescent="0.25">
      <c r="B20" s="76"/>
      <c r="C20" s="46" t="e">
        <f ca="1">IF(SUMIF(ACOMP!$R$7:$R$1048576,B20,_xlfn.ANCHORARRAY(ACOMP!$V$7))=0,NA(),SUMIF(ACOMP!$R$7:$R$1048576,B20,_xlfn.ANCHORARRAY(ACOMP!$V$7)))</f>
        <v>#N/A</v>
      </c>
      <c r="D20" s="46" t="e" cm="1">
        <f t="array" aca="1" ref="D20" ca="1">IF(E20&lt;&gt;0,IFERROR(MAX(_xlfn._xlws.FILTER(ACOMP!$W$7:$W$70,ACOMP!$R$7:$R$70=B20)),"")-E20,IFERROR(MAX(_xlfn._xlws.FILTER(ACOMP!$W$7:$W$70,ACOMP!$R$7:$R$70=B20)),""))</f>
        <v>#N/A</v>
      </c>
      <c r="E20" s="46" t="e">
        <f t="shared" ca="1" si="0"/>
        <v>#N/A</v>
      </c>
      <c r="F20" s="46" t="e">
        <f t="shared" ca="1" si="1"/>
        <v>#N/A</v>
      </c>
    </row>
    <row r="21" spans="2:6" x14ac:dyDescent="0.25">
      <c r="B21" s="76"/>
      <c r="C21" s="46" t="e">
        <f ca="1">IF(SUMIF(ACOMP!$R$7:$R$1048576,B21,_xlfn.ANCHORARRAY(ACOMP!$V$7))=0,NA(),SUMIF(ACOMP!$R$7:$R$1048576,B21,_xlfn.ANCHORARRAY(ACOMP!$V$7)))</f>
        <v>#N/A</v>
      </c>
      <c r="D21" s="46" t="e" cm="1">
        <f t="array" aca="1" ref="D21" ca="1">IF(E21&lt;&gt;0,IFERROR(MAX(_xlfn._xlws.FILTER(ACOMP!$W$7:$W$70,ACOMP!$R$7:$R$70=B21)),"")-E21,IFERROR(MAX(_xlfn._xlws.FILTER(ACOMP!$W$7:$W$70,ACOMP!$R$7:$R$70=B21)),""))</f>
        <v>#N/A</v>
      </c>
      <c r="E21" s="46" t="e">
        <f t="shared" ca="1" si="0"/>
        <v>#N/A</v>
      </c>
      <c r="F21" s="46" t="e">
        <f t="shared" ca="1" si="1"/>
        <v>#N/A</v>
      </c>
    </row>
    <row r="22" spans="2:6" x14ac:dyDescent="0.25">
      <c r="B22" s="76"/>
      <c r="C22" s="46" t="e">
        <f ca="1">IF(SUMIF(ACOMP!$R$7:$R$1048576,B22,_xlfn.ANCHORARRAY(ACOMP!$V$7))=0,NA(),SUMIF(ACOMP!$R$7:$R$1048576,B22,_xlfn.ANCHORARRAY(ACOMP!$V$7)))</f>
        <v>#N/A</v>
      </c>
      <c r="D22" s="46" t="e" cm="1">
        <f t="array" aca="1" ref="D22" ca="1">IF(E22&lt;&gt;0,IFERROR(MAX(_xlfn._xlws.FILTER(ACOMP!$W$7:$W$70,ACOMP!$R$7:$R$70=B22)),"")-E22,IFERROR(MAX(_xlfn._xlws.FILTER(ACOMP!$W$7:$W$70,ACOMP!$R$7:$R$70=B22)),""))</f>
        <v>#N/A</v>
      </c>
      <c r="E22" s="46" t="e">
        <f t="shared" ca="1" si="0"/>
        <v>#N/A</v>
      </c>
      <c r="F22" s="46" t="e">
        <f t="shared" ca="1" si="1"/>
        <v>#N/A</v>
      </c>
    </row>
    <row r="23" spans="2:6" x14ac:dyDescent="0.25">
      <c r="B23" s="76"/>
      <c r="C23" s="46" t="e">
        <f ca="1">IF(SUMIF(ACOMP!$R$7:$R$1048576,B23,_xlfn.ANCHORARRAY(ACOMP!$V$7))=0,NA(),SUMIF(ACOMP!$R$7:$R$1048576,B23,_xlfn.ANCHORARRAY(ACOMP!$V$7)))</f>
        <v>#N/A</v>
      </c>
      <c r="D23" s="46" t="e" cm="1">
        <f t="array" aca="1" ref="D23" ca="1">IF(E23&lt;&gt;0,IFERROR(MAX(_xlfn._xlws.FILTER(ACOMP!$W$7:$W$70,ACOMP!$R$7:$R$70=B23)),"")-E23,IFERROR(MAX(_xlfn._xlws.FILTER(ACOMP!$W$7:$W$70,ACOMP!$R$7:$R$70=B23)),""))</f>
        <v>#N/A</v>
      </c>
      <c r="E23" s="46" t="e">
        <f t="shared" ca="1" si="0"/>
        <v>#N/A</v>
      </c>
      <c r="F23" s="46" t="e">
        <f t="shared" ca="1" si="1"/>
        <v>#N/A</v>
      </c>
    </row>
    <row r="24" spans="2:6" x14ac:dyDescent="0.25">
      <c r="B24" s="76"/>
      <c r="C24" s="46" t="e">
        <f ca="1">IF(SUMIF(ACOMP!$R$7:$R$1048576,B24,_xlfn.ANCHORARRAY(ACOMP!$V$7))=0,NA(),SUMIF(ACOMP!$R$7:$R$1048576,B24,_xlfn.ANCHORARRAY(ACOMP!$V$7)))</f>
        <v>#N/A</v>
      </c>
      <c r="D24" s="46" t="e" cm="1">
        <f t="array" aca="1" ref="D24" ca="1">IF(E24&lt;&gt;0,IFERROR(MAX(_xlfn._xlws.FILTER(ACOMP!$W$7:$W$70,ACOMP!$R$7:$R$70=B24)),"")-E24,IFERROR(MAX(_xlfn._xlws.FILTER(ACOMP!$W$7:$W$70,ACOMP!$R$7:$R$70=B24)),""))</f>
        <v>#N/A</v>
      </c>
      <c r="E24" s="46" t="e">
        <f t="shared" ca="1" si="0"/>
        <v>#N/A</v>
      </c>
      <c r="F24" s="46" t="e">
        <f t="shared" ca="1" si="1"/>
        <v>#N/A</v>
      </c>
    </row>
    <row r="25" spans="2:6" x14ac:dyDescent="0.25">
      <c r="B25" s="76"/>
      <c r="C25" s="46" t="e">
        <f ca="1">IF(SUMIF(ACOMP!$R$7:$R$1048576,B25,_xlfn.ANCHORARRAY(ACOMP!$V$7))=0,NA(),SUMIF(ACOMP!$R$7:$R$1048576,B25,_xlfn.ANCHORARRAY(ACOMP!$V$7)))</f>
        <v>#N/A</v>
      </c>
      <c r="D25" s="46" t="e" cm="1">
        <f t="array" aca="1" ref="D25" ca="1">IF(E25&lt;&gt;0,IFERROR(MAX(_xlfn._xlws.FILTER(ACOMP!$W$7:$W$70,ACOMP!$R$7:$R$70=B25)),"")-E25,IFERROR(MAX(_xlfn._xlws.FILTER(ACOMP!$W$7:$W$70,ACOMP!$R$7:$R$70=B25)),""))</f>
        <v>#N/A</v>
      </c>
      <c r="E25" s="46" t="e">
        <f t="shared" ca="1" si="0"/>
        <v>#N/A</v>
      </c>
      <c r="F25" s="46" t="e">
        <f t="shared" ca="1" si="1"/>
        <v>#N/A</v>
      </c>
    </row>
    <row r="26" spans="2:6" x14ac:dyDescent="0.25">
      <c r="B26" s="76"/>
      <c r="C26" s="46" t="e">
        <f ca="1">IF(SUMIF(ACOMP!$R$7:$R$1048576,B26,_xlfn.ANCHORARRAY(ACOMP!$V$7))=0,NA(),SUMIF(ACOMP!$R$7:$R$1048576,B26,_xlfn.ANCHORARRAY(ACOMP!$V$7)))</f>
        <v>#N/A</v>
      </c>
      <c r="D26" s="46" t="e" cm="1">
        <f t="array" aca="1" ref="D26" ca="1">IF(E26&lt;&gt;0,IFERROR(MAX(_xlfn._xlws.FILTER(ACOMP!$W$7:$W$70,ACOMP!$R$7:$R$70=B26)),"")-E26,IFERROR(MAX(_xlfn._xlws.FILTER(ACOMP!$W$7:$W$70,ACOMP!$R$7:$R$70=B26)),""))</f>
        <v>#N/A</v>
      </c>
      <c r="E26" s="46" t="e">
        <f t="shared" ca="1" si="0"/>
        <v>#N/A</v>
      </c>
      <c r="F26" s="46" t="e">
        <f t="shared" ca="1" si="1"/>
        <v>#N/A</v>
      </c>
    </row>
    <row r="27" spans="2:6" x14ac:dyDescent="0.25">
      <c r="B27" s="76"/>
      <c r="C27" s="46" t="e">
        <f ca="1">IF(SUMIF(ACOMP!$R$7:$R$1048576,B27,_xlfn.ANCHORARRAY(ACOMP!$V$7))=0,NA(),SUMIF(ACOMP!$R$7:$R$1048576,B27,_xlfn.ANCHORARRAY(ACOMP!$V$7)))</f>
        <v>#N/A</v>
      </c>
      <c r="D27" s="46" t="e" cm="1">
        <f t="array" aca="1" ref="D27" ca="1">IF(E27&lt;&gt;0,IFERROR(MAX(_xlfn._xlws.FILTER(ACOMP!$W$7:$W$70,ACOMP!$R$7:$R$70=B27)),"")-E27,IFERROR(MAX(_xlfn._xlws.FILTER(ACOMP!$W$7:$W$70,ACOMP!$R$7:$R$70=B27)),""))</f>
        <v>#N/A</v>
      </c>
      <c r="E27" s="46" t="e">
        <f t="shared" ca="1" si="0"/>
        <v>#N/A</v>
      </c>
      <c r="F27" s="46" t="e">
        <f t="shared" ca="1" si="1"/>
        <v>#N/A</v>
      </c>
    </row>
    <row r="28" spans="2:6" x14ac:dyDescent="0.25">
      <c r="B28" s="76"/>
      <c r="C28" s="46" t="e">
        <f ca="1">IF(SUMIF(ACOMP!$R$7:$R$1048576,B28,_xlfn.ANCHORARRAY(ACOMP!$V$7))=0,NA(),SUMIF(ACOMP!$R$7:$R$1048576,B28,_xlfn.ANCHORARRAY(ACOMP!$V$7)))</f>
        <v>#N/A</v>
      </c>
      <c r="D28" s="46" t="e" cm="1">
        <f t="array" aca="1" ref="D28" ca="1">IF(E28&lt;&gt;0,IFERROR(MAX(_xlfn._xlws.FILTER(ACOMP!$W$7:$W$70,ACOMP!$R$7:$R$70=B28)),"")-E28,IFERROR(MAX(_xlfn._xlws.FILTER(ACOMP!$W$7:$W$70,ACOMP!$R$7:$R$70=B28)),""))</f>
        <v>#N/A</v>
      </c>
      <c r="E28" s="46" t="e">
        <f t="shared" ca="1" si="0"/>
        <v>#N/A</v>
      </c>
      <c r="F28" s="46" t="e">
        <f t="shared" ca="1" si="1"/>
        <v>#N/A</v>
      </c>
    </row>
    <row r="29" spans="2:6" x14ac:dyDescent="0.25">
      <c r="B29" s="76"/>
      <c r="C29" s="46" t="e">
        <f ca="1">IF(SUMIF(ACOMP!$R$7:$R$1048576,B29,_xlfn.ANCHORARRAY(ACOMP!$V$7))=0,NA(),SUMIF(ACOMP!$R$7:$R$1048576,B29,_xlfn.ANCHORARRAY(ACOMP!$V$7)))</f>
        <v>#N/A</v>
      </c>
      <c r="D29" s="46" t="e" cm="1">
        <f t="array" aca="1" ref="D29" ca="1">IF(E29&lt;&gt;0,IFERROR(MAX(_xlfn._xlws.FILTER(ACOMP!$W$7:$W$70,ACOMP!$R$7:$R$70=B29)),"")-E29,IFERROR(MAX(_xlfn._xlws.FILTER(ACOMP!$W$7:$W$70,ACOMP!$R$7:$R$70=B29)),""))</f>
        <v>#N/A</v>
      </c>
      <c r="E29" s="46" t="e">
        <f t="shared" ca="1" si="0"/>
        <v>#N/A</v>
      </c>
      <c r="F29" s="46" t="e">
        <f t="shared" ca="1" si="1"/>
        <v>#N/A</v>
      </c>
    </row>
    <row r="30" spans="2:6" x14ac:dyDescent="0.25">
      <c r="B30" s="76"/>
      <c r="C30" s="46" t="e">
        <f ca="1">IF(SUMIF(ACOMP!$R$7:$R$1048576,B30,_xlfn.ANCHORARRAY(ACOMP!$V$7))=0,NA(),SUMIF(ACOMP!$R$7:$R$1048576,B30,_xlfn.ANCHORARRAY(ACOMP!$V$7)))</f>
        <v>#N/A</v>
      </c>
      <c r="D30" s="46" t="e" cm="1">
        <f t="array" aca="1" ref="D30" ca="1">IF(E30&lt;&gt;0,IFERROR(MAX(_xlfn._xlws.FILTER(ACOMP!$W$7:$W$70,ACOMP!$R$7:$R$70=B30)),"")-E30,IFERROR(MAX(_xlfn._xlws.FILTER(ACOMP!$W$7:$W$70,ACOMP!$R$7:$R$70=B30)),""))</f>
        <v>#N/A</v>
      </c>
      <c r="E30" s="46" t="e">
        <f t="shared" ca="1" si="0"/>
        <v>#N/A</v>
      </c>
      <c r="F30" s="46" t="e">
        <f t="shared" ca="1" si="1"/>
        <v>#N/A</v>
      </c>
    </row>
    <row r="31" spans="2:6" x14ac:dyDescent="0.25">
      <c r="B31" s="76"/>
      <c r="C31" s="46" t="e">
        <f ca="1">IF(SUMIF(ACOMP!$R$7:$R$1048576,B31,_xlfn.ANCHORARRAY(ACOMP!$V$7))=0,NA(),SUMIF(ACOMP!$R$7:$R$1048576,B31,_xlfn.ANCHORARRAY(ACOMP!$V$7)))</f>
        <v>#N/A</v>
      </c>
      <c r="D31" s="46" t="e" cm="1">
        <f t="array" aca="1" ref="D31" ca="1">IF(E31&lt;&gt;0,IFERROR(MAX(_xlfn._xlws.FILTER(ACOMP!$W$7:$W$70,ACOMP!$R$7:$R$70=B31)),"")-E31,IFERROR(MAX(_xlfn._xlws.FILTER(ACOMP!$W$7:$W$70,ACOMP!$R$7:$R$70=B31)),""))</f>
        <v>#N/A</v>
      </c>
      <c r="E31" s="46" t="e">
        <f t="shared" ca="1" si="0"/>
        <v>#N/A</v>
      </c>
      <c r="F31" s="46" t="e">
        <f t="shared" ca="1" si="1"/>
        <v>#N/A</v>
      </c>
    </row>
    <row r="32" spans="2:6" x14ac:dyDescent="0.25">
      <c r="B32" s="76"/>
      <c r="C32" s="46" t="e">
        <f ca="1">IF(SUMIF(ACOMP!$R$7:$R$1048576,B32,_xlfn.ANCHORARRAY(ACOMP!$V$7))=0,NA(),SUMIF(ACOMP!$R$7:$R$1048576,B32,_xlfn.ANCHORARRAY(ACOMP!$V$7)))</f>
        <v>#N/A</v>
      </c>
      <c r="D32" s="46" t="e" cm="1">
        <f t="array" aca="1" ref="D32" ca="1">IF(E32&lt;&gt;0,IFERROR(MAX(_xlfn._xlws.FILTER(ACOMP!$W$7:$W$70,ACOMP!$R$7:$R$70=B32)),"")-E32,IFERROR(MAX(_xlfn._xlws.FILTER(ACOMP!$W$7:$W$70,ACOMP!$R$7:$R$70=B32)),""))</f>
        <v>#N/A</v>
      </c>
      <c r="E32" s="46" t="e">
        <f t="shared" ca="1" si="0"/>
        <v>#N/A</v>
      </c>
      <c r="F32" s="46" t="e">
        <f t="shared" ca="1" si="1"/>
        <v>#N/A</v>
      </c>
    </row>
    <row r="33" spans="2:6" x14ac:dyDescent="0.25">
      <c r="B33" s="76"/>
      <c r="C33" s="46" t="e">
        <f ca="1">IF(SUMIF(ACOMP!$R$7:$R$1048576,B33,_xlfn.ANCHORARRAY(ACOMP!$V$7))=0,NA(),SUMIF(ACOMP!$R$7:$R$1048576,B33,_xlfn.ANCHORARRAY(ACOMP!$V$7)))</f>
        <v>#N/A</v>
      </c>
      <c r="D33" s="46" t="e" cm="1">
        <f t="array" aca="1" ref="D33" ca="1">IF(E33&lt;&gt;0,IFERROR(MAX(_xlfn._xlws.FILTER(ACOMP!$W$7:$W$70,ACOMP!$R$7:$R$70=B33)),"")-E33,IFERROR(MAX(_xlfn._xlws.FILTER(ACOMP!$W$7:$W$70,ACOMP!$R$7:$R$70=B33)),""))</f>
        <v>#N/A</v>
      </c>
      <c r="E33" s="46" t="e">
        <f t="shared" ca="1" si="0"/>
        <v>#N/A</v>
      </c>
      <c r="F33" s="46" t="e">
        <f t="shared" ca="1" si="1"/>
        <v>#N/A</v>
      </c>
    </row>
    <row r="34" spans="2:6" x14ac:dyDescent="0.25">
      <c r="B34" s="76"/>
      <c r="C34" s="46" t="e">
        <f ca="1">IF(SUMIF(ACOMP!$R$7:$R$1048576,B34,_xlfn.ANCHORARRAY(ACOMP!$V$7))=0,NA(),SUMIF(ACOMP!$R$7:$R$1048576,B34,_xlfn.ANCHORARRAY(ACOMP!$V$7)))</f>
        <v>#N/A</v>
      </c>
      <c r="D34" s="46" t="e" cm="1">
        <f t="array" aca="1" ref="D34" ca="1">IF(E34&lt;&gt;0,IFERROR(MAX(_xlfn._xlws.FILTER(ACOMP!$W$7:$W$70,ACOMP!$R$7:$R$70=B34)),"")-E34,IFERROR(MAX(_xlfn._xlws.FILTER(ACOMP!$W$7:$W$70,ACOMP!$R$7:$R$70=B34)),""))</f>
        <v>#N/A</v>
      </c>
      <c r="E34" s="46" t="e">
        <f t="shared" ca="1" si="0"/>
        <v>#N/A</v>
      </c>
      <c r="F34" s="46" t="e">
        <f t="shared" ca="1" si="1"/>
        <v>#N/A</v>
      </c>
    </row>
  </sheetData>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BF3C3-34E4-4BDF-81FE-AB9C935B971C}">
  <sheetPr codeName="Planilha3"/>
  <dimension ref="A1:AD33"/>
  <sheetViews>
    <sheetView showGridLines="0" topLeftCell="H1" workbookViewId="0">
      <selection activeCell="X7" sqref="X7"/>
    </sheetView>
  </sheetViews>
  <sheetFormatPr defaultRowHeight="15" x14ac:dyDescent="0.25"/>
  <cols>
    <col min="2" max="2" width="3.5703125" customWidth="1"/>
    <col min="4" max="4" width="3.5703125" customWidth="1"/>
    <col min="6" max="6" width="3.5703125" customWidth="1"/>
    <col min="7" max="7" width="13.140625" customWidth="1"/>
    <col min="8" max="8" width="16.5703125" bestFit="1" customWidth="1"/>
    <col min="11" max="11" width="11.140625" bestFit="1" customWidth="1"/>
    <col min="13" max="13" width="14" customWidth="1"/>
    <col min="15" max="15" width="15.85546875" bestFit="1" customWidth="1"/>
    <col min="17" max="17" width="11.5703125" bestFit="1" customWidth="1"/>
    <col min="18" max="18" width="9.5703125" customWidth="1"/>
    <col min="20" max="20" width="9.5703125" customWidth="1"/>
    <col min="22" max="22" width="10.7109375" bestFit="1" customWidth="1"/>
    <col min="24" max="24" width="12.140625" customWidth="1"/>
  </cols>
  <sheetData>
    <row r="1" spans="1:30" ht="15.75" thickBot="1" x14ac:dyDescent="0.3"/>
    <row r="2" spans="1:30" ht="15.75" thickBot="1" x14ac:dyDescent="0.3">
      <c r="A2" s="4" t="s">
        <v>2</v>
      </c>
      <c r="B2" s="6"/>
      <c r="C2" s="4" t="s">
        <v>0</v>
      </c>
      <c r="D2" s="6"/>
      <c r="E2" s="4" t="s">
        <v>1</v>
      </c>
      <c r="G2" s="4" t="s">
        <v>27</v>
      </c>
      <c r="H2" s="4" t="s">
        <v>3</v>
      </c>
      <c r="I2" s="6"/>
      <c r="J2" s="6"/>
      <c r="K2" s="80" t="s">
        <v>65</v>
      </c>
      <c r="M2" s="34" t="s">
        <v>27</v>
      </c>
      <c r="O2" s="34" t="s">
        <v>3</v>
      </c>
      <c r="Q2" s="34" t="s">
        <v>69</v>
      </c>
      <c r="R2" s="34"/>
      <c r="T2" s="34" t="s">
        <v>83</v>
      </c>
      <c r="V2" s="34" t="s">
        <v>55</v>
      </c>
      <c r="X2" s="34" t="s">
        <v>29</v>
      </c>
      <c r="AA2" s="34" t="s">
        <v>29</v>
      </c>
      <c r="AB2" s="34" t="s">
        <v>31</v>
      </c>
      <c r="AD2" s="51">
        <f>COUNT(ACOMP!L:L)+7</f>
        <v>38</v>
      </c>
    </row>
    <row r="3" spans="1:30" ht="15.75" thickBot="1" x14ac:dyDescent="0.3">
      <c r="A3">
        <v>2023</v>
      </c>
      <c r="C3">
        <v>1</v>
      </c>
      <c r="E3">
        <v>1</v>
      </c>
      <c r="G3" t="s">
        <v>4</v>
      </c>
      <c r="H3" t="s">
        <v>24</v>
      </c>
      <c r="K3" s="78" t="s">
        <v>52</v>
      </c>
      <c r="M3" s="78" t="s">
        <v>4</v>
      </c>
      <c r="O3" s="78" t="s">
        <v>24</v>
      </c>
      <c r="Q3" s="78" t="s">
        <v>70</v>
      </c>
      <c r="R3" s="78">
        <v>1</v>
      </c>
      <c r="T3" s="78">
        <v>2023</v>
      </c>
      <c r="V3" s="50">
        <f ca="1">TODAY()</f>
        <v>45310</v>
      </c>
      <c r="X3" s="81" t="b">
        <f>TRUE</f>
        <v>1</v>
      </c>
      <c r="Z3" s="34" t="s">
        <v>50</v>
      </c>
      <c r="AA3" s="47">
        <f>SUMIF(ACOMP!V7:V1000,"&gt;0")</f>
        <v>4540</v>
      </c>
      <c r="AB3" s="47">
        <f>SUMIF(ACOMP!V7:V1000,"&lt;0")</f>
        <v>-2738.31</v>
      </c>
    </row>
    <row r="4" spans="1:30" ht="15.75" thickBot="1" x14ac:dyDescent="0.3">
      <c r="A4">
        <v>2024</v>
      </c>
      <c r="C4">
        <v>2</v>
      </c>
      <c r="E4">
        <v>2</v>
      </c>
      <c r="G4" t="s">
        <v>5</v>
      </c>
      <c r="H4" t="s">
        <v>10</v>
      </c>
      <c r="K4" s="79" t="s">
        <v>53</v>
      </c>
      <c r="M4" s="79" t="s">
        <v>32</v>
      </c>
      <c r="O4" s="79" t="s">
        <v>40</v>
      </c>
      <c r="Q4" s="79" t="s">
        <v>71</v>
      </c>
      <c r="R4" s="79">
        <v>2</v>
      </c>
      <c r="T4" s="79">
        <v>2024</v>
      </c>
      <c r="V4" s="78">
        <f ca="1">DAY(V3)</f>
        <v>19</v>
      </c>
      <c r="X4" s="78" t="b">
        <f>FALSE</f>
        <v>0</v>
      </c>
      <c r="Z4" s="34" t="s">
        <v>51</v>
      </c>
      <c r="AA4" s="47">
        <f>MAX(ACOMP!V7:V1000)</f>
        <v>2800</v>
      </c>
      <c r="AB4" s="47">
        <f>MIN(ACOMP!V7:V1000)</f>
        <v>-930</v>
      </c>
    </row>
    <row r="5" spans="1:30" ht="15.75" thickBot="1" x14ac:dyDescent="0.3">
      <c r="A5">
        <v>2025</v>
      </c>
      <c r="C5">
        <v>3</v>
      </c>
      <c r="E5">
        <v>3</v>
      </c>
      <c r="G5" t="s">
        <v>5</v>
      </c>
      <c r="H5" t="s">
        <v>11</v>
      </c>
      <c r="K5" s="78" t="s">
        <v>54</v>
      </c>
      <c r="M5" s="78" t="s">
        <v>56</v>
      </c>
      <c r="O5" s="78" t="s">
        <v>39</v>
      </c>
      <c r="Q5" s="78" t="s">
        <v>72</v>
      </c>
      <c r="R5" s="78">
        <v>3</v>
      </c>
      <c r="T5" s="78">
        <v>2025</v>
      </c>
      <c r="V5" s="81">
        <f ca="1">MONTH(V3)</f>
        <v>1</v>
      </c>
    </row>
    <row r="6" spans="1:30" ht="15.75" thickBot="1" x14ac:dyDescent="0.3">
      <c r="A6">
        <v>2026</v>
      </c>
      <c r="C6">
        <v>4</v>
      </c>
      <c r="E6">
        <v>4</v>
      </c>
      <c r="G6" t="s">
        <v>5</v>
      </c>
      <c r="H6" t="s">
        <v>38</v>
      </c>
      <c r="K6" s="79" t="s">
        <v>64</v>
      </c>
      <c r="M6" s="79" t="s">
        <v>19</v>
      </c>
      <c r="O6" s="79" t="s">
        <v>20</v>
      </c>
      <c r="Q6" s="79" t="s">
        <v>73</v>
      </c>
      <c r="R6" s="79">
        <v>4</v>
      </c>
      <c r="T6" s="79">
        <v>2026</v>
      </c>
      <c r="V6" s="78">
        <f ca="1">YEAR(V3)</f>
        <v>2024</v>
      </c>
      <c r="X6" s="34" t="s">
        <v>82</v>
      </c>
    </row>
    <row r="7" spans="1:30" x14ac:dyDescent="0.25">
      <c r="A7">
        <v>2027</v>
      </c>
      <c r="C7">
        <v>5</v>
      </c>
      <c r="E7">
        <v>5</v>
      </c>
      <c r="G7" t="s">
        <v>5</v>
      </c>
      <c r="H7" t="s">
        <v>39</v>
      </c>
      <c r="K7" s="78" t="s">
        <v>68</v>
      </c>
      <c r="M7" s="78" t="s">
        <v>18</v>
      </c>
      <c r="O7" s="78" t="s">
        <v>33</v>
      </c>
      <c r="Q7" s="78" t="s">
        <v>74</v>
      </c>
      <c r="R7" s="78">
        <v>5</v>
      </c>
      <c r="T7" s="78">
        <v>2027</v>
      </c>
      <c r="V7" s="52">
        <f ca="1">V3</f>
        <v>45310</v>
      </c>
      <c r="X7" s="78" t="b">
        <v>0</v>
      </c>
    </row>
    <row r="8" spans="1:30" x14ac:dyDescent="0.25">
      <c r="A8">
        <v>2028</v>
      </c>
      <c r="C8">
        <v>6</v>
      </c>
      <c r="E8">
        <v>6</v>
      </c>
      <c r="G8" t="s">
        <v>5</v>
      </c>
      <c r="H8" t="s">
        <v>13</v>
      </c>
      <c r="M8" s="79" t="s">
        <v>37</v>
      </c>
      <c r="O8" s="79" t="s">
        <v>34</v>
      </c>
      <c r="Q8" s="79" t="s">
        <v>75</v>
      </c>
      <c r="R8" s="79">
        <v>6</v>
      </c>
      <c r="T8" s="79">
        <v>2028</v>
      </c>
    </row>
    <row r="9" spans="1:30" x14ac:dyDescent="0.25">
      <c r="A9">
        <v>2029</v>
      </c>
      <c r="C9">
        <v>7</v>
      </c>
      <c r="E9">
        <v>7</v>
      </c>
      <c r="G9" t="s">
        <v>6</v>
      </c>
      <c r="H9" t="s">
        <v>14</v>
      </c>
      <c r="O9" s="78" t="s">
        <v>10</v>
      </c>
      <c r="Q9" s="78" t="s">
        <v>76</v>
      </c>
      <c r="R9" s="78">
        <v>7</v>
      </c>
      <c r="T9" s="78">
        <v>2029</v>
      </c>
      <c r="V9" s="52">
        <f ca="1">V7+30</f>
        <v>45340</v>
      </c>
    </row>
    <row r="10" spans="1:30" x14ac:dyDescent="0.25">
      <c r="A10">
        <v>2030</v>
      </c>
      <c r="C10">
        <v>8</v>
      </c>
      <c r="E10">
        <v>8</v>
      </c>
      <c r="G10" t="s">
        <v>6</v>
      </c>
      <c r="H10" t="s">
        <v>15</v>
      </c>
      <c r="O10" s="79" t="s">
        <v>17</v>
      </c>
      <c r="Q10" s="79" t="s">
        <v>77</v>
      </c>
      <c r="R10" s="79">
        <v>8</v>
      </c>
      <c r="T10" s="79">
        <v>2030</v>
      </c>
    </row>
    <row r="11" spans="1:30" x14ac:dyDescent="0.25">
      <c r="A11">
        <v>2031</v>
      </c>
      <c r="C11">
        <v>9</v>
      </c>
      <c r="E11">
        <v>9</v>
      </c>
      <c r="G11" t="s">
        <v>6</v>
      </c>
      <c r="H11" t="s">
        <v>21</v>
      </c>
      <c r="O11" s="78" t="s">
        <v>16</v>
      </c>
      <c r="Q11" s="78" t="s">
        <v>78</v>
      </c>
      <c r="R11" s="78">
        <v>9</v>
      </c>
      <c r="T11" s="78">
        <v>2031</v>
      </c>
      <c r="V11" s="102" t="str">
        <f ca="1">TEXT(V9,"MMMM")</f>
        <v>fevereiro</v>
      </c>
    </row>
    <row r="12" spans="1:30" x14ac:dyDescent="0.25">
      <c r="A12">
        <v>2032</v>
      </c>
      <c r="C12">
        <v>10</v>
      </c>
      <c r="E12">
        <v>10</v>
      </c>
      <c r="G12" t="s">
        <v>18</v>
      </c>
      <c r="H12" t="s">
        <v>16</v>
      </c>
      <c r="O12" s="79" t="s">
        <v>60</v>
      </c>
      <c r="Q12" s="79" t="s">
        <v>79</v>
      </c>
      <c r="R12" s="79">
        <v>10</v>
      </c>
      <c r="T12" s="79">
        <v>2032</v>
      </c>
    </row>
    <row r="13" spans="1:30" x14ac:dyDescent="0.25">
      <c r="A13">
        <v>2033</v>
      </c>
      <c r="C13">
        <v>11</v>
      </c>
      <c r="E13">
        <v>11</v>
      </c>
      <c r="G13" t="s">
        <v>18</v>
      </c>
      <c r="H13" t="s">
        <v>17</v>
      </c>
      <c r="O13" s="78" t="s">
        <v>35</v>
      </c>
      <c r="Q13" s="78" t="s">
        <v>80</v>
      </c>
      <c r="R13" s="78">
        <v>11</v>
      </c>
      <c r="T13" s="78">
        <v>2033</v>
      </c>
    </row>
    <row r="14" spans="1:30" x14ac:dyDescent="0.25">
      <c r="A14">
        <v>2034</v>
      </c>
      <c r="C14">
        <v>12</v>
      </c>
      <c r="E14">
        <v>12</v>
      </c>
      <c r="G14" t="s">
        <v>18</v>
      </c>
      <c r="H14" t="s">
        <v>23</v>
      </c>
      <c r="O14" s="79" t="s">
        <v>38</v>
      </c>
      <c r="Q14" s="79" t="s">
        <v>81</v>
      </c>
      <c r="R14" s="79">
        <v>12</v>
      </c>
      <c r="T14" s="79">
        <v>2034</v>
      </c>
    </row>
    <row r="15" spans="1:30" ht="15.75" thickBot="1" x14ac:dyDescent="0.3">
      <c r="E15">
        <v>13</v>
      </c>
      <c r="G15" t="s">
        <v>18</v>
      </c>
      <c r="H15" t="s">
        <v>35</v>
      </c>
      <c r="O15" s="78" t="s">
        <v>36</v>
      </c>
    </row>
    <row r="16" spans="1:30" ht="15.75" thickBot="1" x14ac:dyDescent="0.3">
      <c r="E16">
        <v>14</v>
      </c>
      <c r="G16" t="s">
        <v>18</v>
      </c>
      <c r="H16" t="s">
        <v>34</v>
      </c>
      <c r="Q16" s="34" t="s">
        <v>82</v>
      </c>
      <c r="T16" s="34" t="s">
        <v>82</v>
      </c>
    </row>
    <row r="17" spans="5:20" x14ac:dyDescent="0.25">
      <c r="E17">
        <v>15</v>
      </c>
      <c r="G17" t="s">
        <v>19</v>
      </c>
      <c r="H17" t="s">
        <v>20</v>
      </c>
      <c r="Q17" s="78" t="s">
        <v>81</v>
      </c>
      <c r="T17" s="78">
        <v>2023</v>
      </c>
    </row>
    <row r="18" spans="5:20" x14ac:dyDescent="0.25">
      <c r="E18">
        <v>16</v>
      </c>
      <c r="G18" t="s">
        <v>19</v>
      </c>
      <c r="H18" t="s">
        <v>22</v>
      </c>
    </row>
    <row r="19" spans="5:20" x14ac:dyDescent="0.25">
      <c r="E19">
        <v>17</v>
      </c>
      <c r="G19" t="s">
        <v>8</v>
      </c>
      <c r="H19" t="s">
        <v>7</v>
      </c>
    </row>
    <row r="20" spans="5:20" x14ac:dyDescent="0.25">
      <c r="E20">
        <v>18</v>
      </c>
      <c r="G20" t="s">
        <v>8</v>
      </c>
      <c r="H20" t="s">
        <v>9</v>
      </c>
    </row>
    <row r="21" spans="5:20" x14ac:dyDescent="0.25">
      <c r="E21">
        <v>19</v>
      </c>
      <c r="G21" t="s">
        <v>32</v>
      </c>
      <c r="H21" t="s">
        <v>12</v>
      </c>
    </row>
    <row r="22" spans="5:20" x14ac:dyDescent="0.25">
      <c r="E22">
        <v>20</v>
      </c>
      <c r="G22" t="s">
        <v>37</v>
      </c>
      <c r="H22" t="s">
        <v>36</v>
      </c>
    </row>
    <row r="23" spans="5:20" x14ac:dyDescent="0.25">
      <c r="E23">
        <v>21</v>
      </c>
      <c r="K23" t="str">
        <f ca="1">"SALDO PREVISTO ("&amp;V11&amp;")"</f>
        <v>SALDO PREVISTO (fevereiro)</v>
      </c>
    </row>
    <row r="24" spans="5:20" x14ac:dyDescent="0.25">
      <c r="E24">
        <v>22</v>
      </c>
    </row>
    <row r="25" spans="5:20" x14ac:dyDescent="0.25">
      <c r="E25">
        <v>23</v>
      </c>
    </row>
    <row r="26" spans="5:20" x14ac:dyDescent="0.25">
      <c r="E26">
        <v>24</v>
      </c>
    </row>
    <row r="27" spans="5:20" x14ac:dyDescent="0.25">
      <c r="E27">
        <v>25</v>
      </c>
    </row>
    <row r="28" spans="5:20" x14ac:dyDescent="0.25">
      <c r="E28">
        <v>26</v>
      </c>
    </row>
    <row r="29" spans="5:20" x14ac:dyDescent="0.25">
      <c r="E29">
        <v>27</v>
      </c>
    </row>
    <row r="30" spans="5:20" x14ac:dyDescent="0.25">
      <c r="E30">
        <v>28</v>
      </c>
    </row>
    <row r="31" spans="5:20" x14ac:dyDescent="0.25">
      <c r="E31">
        <v>29</v>
      </c>
    </row>
    <row r="32" spans="5:20" x14ac:dyDescent="0.25">
      <c r="E32">
        <v>30</v>
      </c>
    </row>
    <row r="33" spans="5:5" x14ac:dyDescent="0.25">
      <c r="E33">
        <v>31</v>
      </c>
    </row>
  </sheetData>
  <phoneticPr fontId="5" type="noConversion"/>
  <dataValidations count="3">
    <dataValidation type="list" allowBlank="1" showInputMessage="1" showErrorMessage="1" sqref="Q17" xr:uid="{83C73E1B-1CA2-4FD1-BA56-4AD299FF89E8}">
      <formula1>MESES</formula1>
    </dataValidation>
    <dataValidation type="list" allowBlank="1" showInputMessage="1" showErrorMessage="1" sqref="X7" xr:uid="{D8654A7B-8717-404A-ACB4-7A0B4AB2BEE5}">
      <formula1>SorH</formula1>
    </dataValidation>
    <dataValidation type="list" allowBlank="1" showInputMessage="1" showErrorMessage="1" sqref="T17" xr:uid="{29EA31AF-2252-45DA-924C-646893FE31D0}">
      <formula1>ANOS</formula1>
    </dataValidation>
  </dataValidations>
  <pageMargins left="0.511811024" right="0.511811024" top="0.78740157499999996" bottom="0.78740157499999996" header="0.31496062000000002" footer="0.31496062000000002"/>
  <pageSetup paperSize="9" orientation="portrait" horizontalDpi="0" verticalDpi="0" r:id="rId1"/>
  <tableParts count="4">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3FC03-6980-4E33-BE4B-191A50A31ABA}">
  <sheetPr codeName="Planilha2"/>
  <dimension ref="A25"/>
  <sheetViews>
    <sheetView showGridLines="0" showRowColHeaders="0" tabSelected="1" zoomScaleNormal="100" workbookViewId="0">
      <selection activeCell="AM5" sqref="AM5"/>
    </sheetView>
  </sheetViews>
  <sheetFormatPr defaultColWidth="6" defaultRowHeight="27.75" customHeight="1" x14ac:dyDescent="0.25"/>
  <cols>
    <col min="7" max="7" width="5.7109375" customWidth="1"/>
    <col min="36" max="36" width="8.5703125" customWidth="1"/>
  </cols>
  <sheetData>
    <row r="25" ht="38.25" customHeight="1" x14ac:dyDescent="0.25"/>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51242-D647-4BD3-9501-B57E7AD2C921}">
  <sheetPr codeName="Planilha5"/>
  <dimension ref="A1"/>
  <sheetViews>
    <sheetView showGridLines="0" workbookViewId="0">
      <selection activeCell="R18" sqref="R18"/>
    </sheetView>
  </sheetViews>
  <sheetFormatPr defaultRowHeight="15" x14ac:dyDescent="0.25"/>
  <sheetData/>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5</vt:i4>
      </vt:variant>
      <vt:variant>
        <vt:lpstr>Intervalos Nomeados</vt:lpstr>
      </vt:variant>
      <vt:variant>
        <vt:i4>14</vt:i4>
      </vt:variant>
    </vt:vector>
  </HeadingPairs>
  <TitlesOfParts>
    <vt:vector size="19" baseType="lpstr">
      <vt:lpstr>ACOMP</vt:lpstr>
      <vt:lpstr>CHART</vt:lpstr>
      <vt:lpstr>EDITAR</vt:lpstr>
      <vt:lpstr>VISAO.GERAL</vt:lpstr>
      <vt:lpstr>Planilha1</vt:lpstr>
      <vt:lpstr>ANO</vt:lpstr>
      <vt:lpstr>ANOS</vt:lpstr>
      <vt:lpstr>DESCRIÇÃO</vt:lpstr>
      <vt:lpstr>DIA</vt:lpstr>
      <vt:lpstr>FORMA_PGTO</vt:lpstr>
      <vt:lpstr>INDEX</vt:lpstr>
      <vt:lpstr>MÊS</vt:lpstr>
      <vt:lpstr>MESES</vt:lpstr>
      <vt:lpstr>SALDO</vt:lpstr>
      <vt:lpstr>SELECTED</vt:lpstr>
      <vt:lpstr>SHOW</vt:lpstr>
      <vt:lpstr>SorH</vt:lpstr>
      <vt:lpstr>TIPO_DESCRIÇÃO</vt:lpstr>
      <vt:lpstr>YEAR_SELECTED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Lucas Gabriel Bonato</dc:creator>
  <cp:lastModifiedBy>Lucas Gabriel Bonato</cp:lastModifiedBy>
  <dcterms:created xsi:type="dcterms:W3CDTF">2023-12-11T15:13:19Z</dcterms:created>
  <dcterms:modified xsi:type="dcterms:W3CDTF">2024-01-19T13:42:04Z</dcterms:modified>
</cp:coreProperties>
</file>